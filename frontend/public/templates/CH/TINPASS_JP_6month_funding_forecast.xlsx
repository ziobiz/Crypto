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volume" sheetId="2" state="visible" r:id="rId2"/>
    <sheet xmlns:r="http://schemas.openxmlformats.org/officeDocument/2006/relationships" name="02_daily" sheetId="3" state="visible" r:id="rId3"/>
    <sheet xmlns:r="http://schemas.openxmlformats.org/officeDocument/2006/relationships" name="03_nature" sheetId="4" state="visible" r:id="rId4"/>
    <sheet xmlns:r="http://schemas.openxmlformats.org/officeDocument/2006/relationships" name="04_docs" sheetId="5" state="visible" r:id="rId5"/>
  </sheets>
  <definedNames>
    <definedName name="_xlnm._FilterDatabase" localSheetId="2" hidden="1">'02_daily'!$A$3:$F$187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name val="Microsoft YaHei"/>
      <b val="1"/>
      <color rgb="001E3A5F"/>
      <sz val="16"/>
    </font>
    <font>
      <name val="Microsoft YaHei"/>
      <b val="1"/>
      <color rgb="00FFFFFF"/>
      <sz val="11"/>
    </font>
    <font>
      <name val="Microsoft YaHei"/>
      <b val="1"/>
      <sz val="11"/>
    </font>
    <font>
      <name val="Microsoft YaHei"/>
      <sz val="10"/>
    </font>
  </fonts>
  <fills count="8">
    <fill>
      <patternFill/>
    </fill>
    <fill>
      <patternFill patternType="gray125"/>
    </fill>
    <fill>
      <patternFill patternType="solid">
        <fgColor rgb="00FFF3BF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1F5F9"/>
      </patternFill>
    </fill>
    <fill>
      <patternFill patternType="solid">
        <fgColor rgb="00C9A22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5" borderId="0" pivotButton="0" quotePrefix="0" xfId="0"/>
    <xf numFmtId="0" fontId="0" fillId="5" borderId="0" pivotButton="0" quotePrefix="0" xfId="0"/>
    <xf numFmtId="3" fontId="4" fillId="5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center" wrapText="1"/>
    </xf>
    <xf numFmtId="165" fontId="0" fillId="0" borderId="1" pivotButton="0" quotePrefix="0" xfId="0"/>
    <xf numFmtId="0" fontId="0" fillId="6" borderId="1" pivotButton="0" quotePrefix="0" xfId="0"/>
    <xf numFmtId="165" fontId="0" fillId="4" borderId="1" pivotButton="0" quotePrefix="0" xfId="0"/>
    <xf numFmtId="3" fontId="0" fillId="4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2" borderId="1" pivotButton="0" quotePrefix="0" xfId="0"/>
    <xf numFmtId="166" fontId="4" fillId="2" borderId="1" pivotButton="0" quotePrefix="0" xfId="0"/>
    <xf numFmtId="0" fontId="4" fillId="0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月交易规模 (JPY)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'01_volume'!E3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'01_volume'!$A$4:$A$9</f>
            </numRef>
          </cat>
          <val>
            <numRef>
              <f>'01_volume'!$E$4:$E$9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JPY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0" customWidth="1" min="6" max="6"/>
  </cols>
  <sheetData>
    <row r="1" ht="28" customHeight="1">
      <c r="A1" s="1" t="inlineStr">
        <is>
          <t>日本子公司6个月交易预估报告（TINPASS / 日本账户入金）</t>
        </is>
      </c>
    </row>
    <row r="3" ht="220" customHeight="1">
      <c r="A3" s="2" t="inlineStr">
        <is>
          <t>本表格用于事先说明：日本子公司从日本交易对手收款后，向 TINPASS 日本账户入金，并据此向代表支付 USDT，以便税务与 AML 审查。
填写主体：日本子公司
期间：自8月起6个月（8月–次年1月）
币种：JPY（在黄色单元格填写日均规模，周/月由公式自动合计）
步骤
1) 01_volume — 仅填每月日均（周=日×7，月=日×当月天数）
2) 02_daily — 可选按日
3) 03_nature — 资金性质
4) 04_docs — 个人/法人文件
5) 保存后在 TINPASS USDT 申请时上传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20">
      <c r="A20" s="3" t="inlineStr">
        <is>
          <t>黄=填写 / 蓝=自动计算 / 绿=6个月合计</t>
        </is>
      </c>
    </row>
  </sheetData>
  <mergeCells count="2">
    <mergeCell ref="A1:F1"/>
    <mergeCell ref="A3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8" customWidth="1" min="4" max="4"/>
    <col width="32" customWidth="1" min="5" max="5"/>
    <col width="32" customWidth="1" min="6" max="6"/>
    <col width="16" customWidth="1" min="7" max="7"/>
    <col width="14" customWidth="1" min="8" max="8"/>
  </cols>
  <sheetData>
    <row r="1">
      <c r="A1" s="1" t="inlineStr">
        <is>
          <t>6个月交易规模预估（填写日均 → 周/月自动合计）</t>
        </is>
      </c>
    </row>
    <row r="3" ht="36" customHeight="1">
      <c r="A3" s="4" t="inlineStr">
        <is>
          <t>月</t>
        </is>
      </c>
      <c r="B3" s="4" t="inlineStr">
        <is>
          <t>当月天数</t>
        </is>
      </c>
      <c r="C3" s="4" t="inlineStr">
        <is>
          <t>日均规模 (JPY) ※填写</t>
        </is>
      </c>
      <c r="D3" s="4" t="inlineStr">
        <is>
          <t>周规模 (JPY)=日×7</t>
        </is>
      </c>
      <c r="E3" s="4" t="inlineStr">
        <is>
          <t>月规模 (JPY)=日×天数</t>
        </is>
      </c>
      <c r="F3" s="4" t="inlineStr">
        <is>
          <t>备注（笔数/对手数）</t>
        </is>
      </c>
      <c r="G3" s="4" t="inlineStr">
        <is>
          <t>资金性质代码</t>
        </is>
      </c>
      <c r="H3" s="4" t="inlineStr">
        <is>
          <t>填写人确认</t>
        </is>
      </c>
    </row>
    <row r="4">
      <c r="A4" s="5" t="inlineStr">
        <is>
          <t>2026-08</t>
        </is>
      </c>
      <c r="B4" s="6" t="n">
        <v>31</v>
      </c>
      <c r="C4" s="7" t="n"/>
      <c r="D4" s="8">
        <f>IF(C4="","",C4*7)</f>
        <v/>
      </c>
      <c r="E4" s="8">
        <f>IF(C4="","",C4*B4)</f>
        <v/>
      </c>
      <c r="F4" s="9" t="n"/>
      <c r="G4" s="9" t="n"/>
      <c r="H4" s="9" t="n"/>
    </row>
    <row r="5">
      <c r="A5" s="5" t="inlineStr">
        <is>
          <t>2026-09</t>
        </is>
      </c>
      <c r="B5" s="6" t="n">
        <v>30</v>
      </c>
      <c r="C5" s="7" t="n"/>
      <c r="D5" s="8">
        <f>IF(C5="","",C5*7)</f>
        <v/>
      </c>
      <c r="E5" s="8">
        <f>IF(C5="","",C5*B5)</f>
        <v/>
      </c>
      <c r="F5" s="9" t="n"/>
      <c r="G5" s="9" t="n"/>
      <c r="H5" s="9" t="n"/>
    </row>
    <row r="6">
      <c r="A6" s="5" t="inlineStr">
        <is>
          <t>2026-10</t>
        </is>
      </c>
      <c r="B6" s="6" t="n">
        <v>31</v>
      </c>
      <c r="C6" s="7" t="n"/>
      <c r="D6" s="8">
        <f>IF(C6="","",C6*7)</f>
        <v/>
      </c>
      <c r="E6" s="8">
        <f>IF(C6="","",C6*B6)</f>
        <v/>
      </c>
      <c r="F6" s="9" t="n"/>
      <c r="G6" s="9" t="n"/>
      <c r="H6" s="9" t="n"/>
    </row>
    <row r="7">
      <c r="A7" s="5" t="inlineStr">
        <is>
          <t>2026-11</t>
        </is>
      </c>
      <c r="B7" s="6" t="n">
        <v>30</v>
      </c>
      <c r="C7" s="7" t="n"/>
      <c r="D7" s="8">
        <f>IF(C7="","",C7*7)</f>
        <v/>
      </c>
      <c r="E7" s="8">
        <f>IF(C7="","",C7*B7)</f>
        <v/>
      </c>
      <c r="F7" s="9" t="n"/>
      <c r="G7" s="9" t="n"/>
      <c r="H7" s="9" t="n"/>
    </row>
    <row r="8">
      <c r="A8" s="5" t="inlineStr">
        <is>
          <t>2026-12</t>
        </is>
      </c>
      <c r="B8" s="6" t="n">
        <v>31</v>
      </c>
      <c r="C8" s="7" t="n"/>
      <c r="D8" s="8">
        <f>IF(C8="","",C8*7)</f>
        <v/>
      </c>
      <c r="E8" s="8">
        <f>IF(C8="","",C8*B8)</f>
        <v/>
      </c>
      <c r="F8" s="9" t="n"/>
      <c r="G8" s="9" t="n"/>
      <c r="H8" s="9" t="n"/>
    </row>
    <row r="9">
      <c r="A9" s="5" t="inlineStr">
        <is>
          <t>2027-01</t>
        </is>
      </c>
      <c r="B9" s="6" t="n">
        <v>31</v>
      </c>
      <c r="C9" s="7" t="n"/>
      <c r="D9" s="8">
        <f>IF(C9="","",C9*7)</f>
        <v/>
      </c>
      <c r="E9" s="8">
        <f>IF(C9="","",C9*B9)</f>
        <v/>
      </c>
      <c r="F9" s="9" t="n"/>
      <c r="G9" s="9" t="n"/>
      <c r="H9" s="9" t="n"/>
    </row>
    <row r="10">
      <c r="A10" s="10" t="inlineStr">
        <is>
          <t>6个月合计</t>
        </is>
      </c>
      <c r="B10" s="11">
        <f>SUM(B4:B9)</f>
        <v/>
      </c>
      <c r="C10" s="12">
        <f>SUM(C4:C9)</f>
        <v/>
      </c>
      <c r="D10" s="12">
        <f>SUM(D4:D9)</f>
        <v/>
      </c>
      <c r="E10" s="12">
        <f>SUM(E4:E9)</f>
        <v/>
      </c>
      <c r="F10" s="11" t="inlineStr">
        <is>
          <t>E列月合计为日本账户计划入金总额基准。</t>
        </is>
      </c>
    </row>
    <row r="12">
      <c r="A12" t="inlineStr">
        <is>
          <t>日均平均</t>
        </is>
      </c>
      <c r="B12" s="8">
        <f>IF(COUNT(C4:C9)=0,"",AVERAGE(C4:C9))</f>
        <v/>
      </c>
    </row>
    <row r="13">
      <c r="A13" t="inlineStr">
        <is>
          <t>月均平均</t>
        </is>
      </c>
      <c r="B13" s="8">
        <f>IF(COUNT(E4:E9)=0,"",AVERAGE(E4:E9))</f>
        <v/>
      </c>
    </row>
    <row r="15">
      <c r="A15" t="inlineStr">
        <is>
          <t>填写法人名称</t>
        </is>
      </c>
      <c r="B15" s="13" t="n"/>
      <c r="C15" s="14" t="n"/>
      <c r="D15" s="15" t="n"/>
    </row>
    <row r="16">
      <c r="A16" t="inlineStr">
        <is>
          <t>代表人</t>
        </is>
      </c>
      <c r="B16" s="13" t="n"/>
      <c r="C16" t="inlineStr">
        <is>
          <t>印章/签名</t>
        </is>
      </c>
      <c r="D16" s="13" t="n"/>
      <c r="E16" s="15" t="n"/>
    </row>
    <row r="17">
      <c r="A17" t="inlineStr">
        <is>
          <t>填写日</t>
        </is>
      </c>
      <c r="B17" s="13" t="n"/>
    </row>
    <row r="19">
      <c r="A19" s="16" t="inlineStr">
        <is>
          <t>周=日×7，月=日×当月天数。周末/假日无交易请在 02_daily 按日填写。</t>
        </is>
      </c>
    </row>
    <row r="20"/>
    <row r="21"/>
  </sheetData>
  <mergeCells count="5">
    <mergeCell ref="F10:H10"/>
    <mergeCell ref="D16:E16"/>
    <mergeCell ref="A19:H21"/>
    <mergeCell ref="A1:H1"/>
    <mergeCell ref="B15:D15"/>
  </mergeCells>
  <dataValidations count="1">
    <dataValidation sqref="G4:G9" showDropDown="0" showInputMessage="0" showErrorMessage="0" allowBlank="1" errorTitle="资金性质" error="请从列表选择" type="list">
      <formula1>"A_货款,B_服务费,C_特许权,D_还款,E_增资,F_其他"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按日预估（可选）— 月合计与 01_volume 核对</t>
        </is>
      </c>
    </row>
    <row r="3">
      <c r="A3" s="4" t="inlineStr">
        <is>
          <t>日期</t>
        </is>
      </c>
      <c r="B3" s="4" t="inlineStr">
        <is>
          <t>星期</t>
        </is>
      </c>
      <c r="C3" s="4" t="inlineStr">
        <is>
          <t>日规模(JPY) ※填写</t>
        </is>
      </c>
      <c r="D3" s="4" t="inlineStr">
        <is>
          <t>周起始(一)</t>
        </is>
      </c>
      <c r="E3" s="4" t="inlineStr">
        <is>
          <t>该周合计</t>
        </is>
      </c>
      <c r="F3" s="4" t="inlineStr">
        <is>
          <t>月</t>
        </is>
      </c>
    </row>
    <row r="4">
      <c r="A4" s="17" t="n">
        <v>46235</v>
      </c>
      <c r="B4" s="18" t="inlineStr">
        <is>
          <t>六</t>
        </is>
      </c>
      <c r="C4" s="7" t="n"/>
      <c r="D4" s="19">
        <f>A4-WEEKDAY(A4,2)+1</f>
        <v/>
      </c>
      <c r="E4" s="20">
        <f>SUMIF($D$4:$D$187,D4,$C$4:$C$187)</f>
        <v/>
      </c>
      <c r="F4" s="21">
        <f>TEXT(A4,"YYYY-MM")</f>
        <v/>
      </c>
    </row>
    <row r="5">
      <c r="A5" s="17" t="n">
        <v>46236</v>
      </c>
      <c r="B5" s="18" t="inlineStr">
        <is>
          <t>日</t>
        </is>
      </c>
      <c r="C5" s="7" t="n"/>
      <c r="D5" s="19">
        <f>A5-WEEKDAY(A5,2)+1</f>
        <v/>
      </c>
      <c r="E5" s="20">
        <f>SUMIF($D$4:$D$187,D5,$C$4:$C$187)</f>
        <v/>
      </c>
      <c r="F5" s="21">
        <f>TEXT(A5,"YYYY-MM")</f>
        <v/>
      </c>
    </row>
    <row r="6">
      <c r="A6" s="17" t="n">
        <v>46237</v>
      </c>
      <c r="B6" s="21" t="inlineStr">
        <is>
          <t>一</t>
        </is>
      </c>
      <c r="C6" s="7" t="n"/>
      <c r="D6" s="19">
        <f>A6-WEEKDAY(A6,2)+1</f>
        <v/>
      </c>
      <c r="E6" s="20">
        <f>SUMIF($D$4:$D$187,D6,$C$4:$C$187)</f>
        <v/>
      </c>
      <c r="F6" s="21">
        <f>TEXT(A6,"YYYY-MM")</f>
        <v/>
      </c>
    </row>
    <row r="7">
      <c r="A7" s="17" t="n">
        <v>46238</v>
      </c>
      <c r="B7" s="21" t="inlineStr">
        <is>
          <t>二</t>
        </is>
      </c>
      <c r="C7" s="7" t="n"/>
      <c r="D7" s="19">
        <f>A7-WEEKDAY(A7,2)+1</f>
        <v/>
      </c>
      <c r="E7" s="20">
        <f>SUMIF($D$4:$D$187,D7,$C$4:$C$187)</f>
        <v/>
      </c>
      <c r="F7" s="21">
        <f>TEXT(A7,"YYYY-MM")</f>
        <v/>
      </c>
    </row>
    <row r="8">
      <c r="A8" s="17" t="n">
        <v>46239</v>
      </c>
      <c r="B8" s="21" t="inlineStr">
        <is>
          <t>三</t>
        </is>
      </c>
      <c r="C8" s="7" t="n"/>
      <c r="D8" s="19">
        <f>A8-WEEKDAY(A8,2)+1</f>
        <v/>
      </c>
      <c r="E8" s="20">
        <f>SUMIF($D$4:$D$187,D8,$C$4:$C$187)</f>
        <v/>
      </c>
      <c r="F8" s="21">
        <f>TEXT(A8,"YYYY-MM")</f>
        <v/>
      </c>
    </row>
    <row r="9">
      <c r="A9" s="17" t="n">
        <v>46240</v>
      </c>
      <c r="B9" s="21" t="inlineStr">
        <is>
          <t>四</t>
        </is>
      </c>
      <c r="C9" s="7" t="n"/>
      <c r="D9" s="19">
        <f>A9-WEEKDAY(A9,2)+1</f>
        <v/>
      </c>
      <c r="E9" s="20">
        <f>SUMIF($D$4:$D$187,D9,$C$4:$C$187)</f>
        <v/>
      </c>
      <c r="F9" s="21">
        <f>TEXT(A9,"YYYY-MM")</f>
        <v/>
      </c>
    </row>
    <row r="10">
      <c r="A10" s="17" t="n">
        <v>46241</v>
      </c>
      <c r="B10" s="21" t="inlineStr">
        <is>
          <t>五</t>
        </is>
      </c>
      <c r="C10" s="7" t="n"/>
      <c r="D10" s="19">
        <f>A10-WEEKDAY(A10,2)+1</f>
        <v/>
      </c>
      <c r="E10" s="20">
        <f>SUMIF($D$4:$D$187,D10,$C$4:$C$187)</f>
        <v/>
      </c>
      <c r="F10" s="21">
        <f>TEXT(A10,"YYYY-MM")</f>
        <v/>
      </c>
    </row>
    <row r="11">
      <c r="A11" s="17" t="n">
        <v>46242</v>
      </c>
      <c r="B11" s="18" t="inlineStr">
        <is>
          <t>六</t>
        </is>
      </c>
      <c r="C11" s="7" t="n"/>
      <c r="D11" s="19">
        <f>A11-WEEKDAY(A11,2)+1</f>
        <v/>
      </c>
      <c r="E11" s="20">
        <f>SUMIF($D$4:$D$187,D11,$C$4:$C$187)</f>
        <v/>
      </c>
      <c r="F11" s="21">
        <f>TEXT(A11,"YYYY-MM")</f>
        <v/>
      </c>
    </row>
    <row r="12">
      <c r="A12" s="17" t="n">
        <v>46243</v>
      </c>
      <c r="B12" s="18" t="inlineStr">
        <is>
          <t>日</t>
        </is>
      </c>
      <c r="C12" s="7" t="n"/>
      <c r="D12" s="19">
        <f>A12-WEEKDAY(A12,2)+1</f>
        <v/>
      </c>
      <c r="E12" s="20">
        <f>SUMIF($D$4:$D$187,D12,$C$4:$C$187)</f>
        <v/>
      </c>
      <c r="F12" s="21">
        <f>TEXT(A12,"YYYY-MM")</f>
        <v/>
      </c>
    </row>
    <row r="13">
      <c r="A13" s="17" t="n">
        <v>46244</v>
      </c>
      <c r="B13" s="21" t="inlineStr">
        <is>
          <t>一</t>
        </is>
      </c>
      <c r="C13" s="7" t="n"/>
      <c r="D13" s="19">
        <f>A13-WEEKDAY(A13,2)+1</f>
        <v/>
      </c>
      <c r="E13" s="20">
        <f>SUMIF($D$4:$D$187,D13,$C$4:$C$187)</f>
        <v/>
      </c>
      <c r="F13" s="21">
        <f>TEXT(A13,"YYYY-MM")</f>
        <v/>
      </c>
    </row>
    <row r="14">
      <c r="A14" s="17" t="n">
        <v>46245</v>
      </c>
      <c r="B14" s="21" t="inlineStr">
        <is>
          <t>二</t>
        </is>
      </c>
      <c r="C14" s="7" t="n"/>
      <c r="D14" s="19">
        <f>A14-WEEKDAY(A14,2)+1</f>
        <v/>
      </c>
      <c r="E14" s="20">
        <f>SUMIF($D$4:$D$187,D14,$C$4:$C$187)</f>
        <v/>
      </c>
      <c r="F14" s="21">
        <f>TEXT(A14,"YYYY-MM")</f>
        <v/>
      </c>
    </row>
    <row r="15">
      <c r="A15" s="17" t="n">
        <v>46246</v>
      </c>
      <c r="B15" s="21" t="inlineStr">
        <is>
          <t>三</t>
        </is>
      </c>
      <c r="C15" s="7" t="n"/>
      <c r="D15" s="19">
        <f>A15-WEEKDAY(A15,2)+1</f>
        <v/>
      </c>
      <c r="E15" s="20">
        <f>SUMIF($D$4:$D$187,D15,$C$4:$C$187)</f>
        <v/>
      </c>
      <c r="F15" s="21">
        <f>TEXT(A15,"YYYY-MM")</f>
        <v/>
      </c>
    </row>
    <row r="16">
      <c r="A16" s="17" t="n">
        <v>46247</v>
      </c>
      <c r="B16" s="21" t="inlineStr">
        <is>
          <t>四</t>
        </is>
      </c>
      <c r="C16" s="7" t="n"/>
      <c r="D16" s="19">
        <f>A16-WEEKDAY(A16,2)+1</f>
        <v/>
      </c>
      <c r="E16" s="20">
        <f>SUMIF($D$4:$D$187,D16,$C$4:$C$187)</f>
        <v/>
      </c>
      <c r="F16" s="21">
        <f>TEXT(A16,"YYYY-MM")</f>
        <v/>
      </c>
    </row>
    <row r="17">
      <c r="A17" s="17" t="n">
        <v>46248</v>
      </c>
      <c r="B17" s="21" t="inlineStr">
        <is>
          <t>五</t>
        </is>
      </c>
      <c r="C17" s="7" t="n"/>
      <c r="D17" s="19">
        <f>A17-WEEKDAY(A17,2)+1</f>
        <v/>
      </c>
      <c r="E17" s="20">
        <f>SUMIF($D$4:$D$187,D17,$C$4:$C$187)</f>
        <v/>
      </c>
      <c r="F17" s="21">
        <f>TEXT(A17,"YYYY-MM")</f>
        <v/>
      </c>
    </row>
    <row r="18">
      <c r="A18" s="17" t="n">
        <v>46249</v>
      </c>
      <c r="B18" s="18" t="inlineStr">
        <is>
          <t>六</t>
        </is>
      </c>
      <c r="C18" s="7" t="n"/>
      <c r="D18" s="19">
        <f>A18-WEEKDAY(A18,2)+1</f>
        <v/>
      </c>
      <c r="E18" s="20">
        <f>SUMIF($D$4:$D$187,D18,$C$4:$C$187)</f>
        <v/>
      </c>
      <c r="F18" s="21">
        <f>TEXT(A18,"YYYY-MM")</f>
        <v/>
      </c>
    </row>
    <row r="19">
      <c r="A19" s="17" t="n">
        <v>46250</v>
      </c>
      <c r="B19" s="18" t="inlineStr">
        <is>
          <t>日</t>
        </is>
      </c>
      <c r="C19" s="7" t="n"/>
      <c r="D19" s="19">
        <f>A19-WEEKDAY(A19,2)+1</f>
        <v/>
      </c>
      <c r="E19" s="20">
        <f>SUMIF($D$4:$D$187,D19,$C$4:$C$187)</f>
        <v/>
      </c>
      <c r="F19" s="21">
        <f>TEXT(A19,"YYYY-MM")</f>
        <v/>
      </c>
    </row>
    <row r="20">
      <c r="A20" s="17" t="n">
        <v>46251</v>
      </c>
      <c r="B20" s="21" t="inlineStr">
        <is>
          <t>一</t>
        </is>
      </c>
      <c r="C20" s="7" t="n"/>
      <c r="D20" s="19">
        <f>A20-WEEKDAY(A20,2)+1</f>
        <v/>
      </c>
      <c r="E20" s="20">
        <f>SUMIF($D$4:$D$187,D20,$C$4:$C$187)</f>
        <v/>
      </c>
      <c r="F20" s="21">
        <f>TEXT(A20,"YYYY-MM")</f>
        <v/>
      </c>
    </row>
    <row r="21">
      <c r="A21" s="17" t="n">
        <v>46252</v>
      </c>
      <c r="B21" s="21" t="inlineStr">
        <is>
          <t>二</t>
        </is>
      </c>
      <c r="C21" s="7" t="n"/>
      <c r="D21" s="19">
        <f>A21-WEEKDAY(A21,2)+1</f>
        <v/>
      </c>
      <c r="E21" s="20">
        <f>SUMIF($D$4:$D$187,D21,$C$4:$C$187)</f>
        <v/>
      </c>
      <c r="F21" s="21">
        <f>TEXT(A21,"YYYY-MM")</f>
        <v/>
      </c>
    </row>
    <row r="22">
      <c r="A22" s="17" t="n">
        <v>46253</v>
      </c>
      <c r="B22" s="21" t="inlineStr">
        <is>
          <t>三</t>
        </is>
      </c>
      <c r="C22" s="7" t="n"/>
      <c r="D22" s="19">
        <f>A22-WEEKDAY(A22,2)+1</f>
        <v/>
      </c>
      <c r="E22" s="20">
        <f>SUMIF($D$4:$D$187,D22,$C$4:$C$187)</f>
        <v/>
      </c>
      <c r="F22" s="21">
        <f>TEXT(A22,"YYYY-MM")</f>
        <v/>
      </c>
    </row>
    <row r="23">
      <c r="A23" s="17" t="n">
        <v>46254</v>
      </c>
      <c r="B23" s="21" t="inlineStr">
        <is>
          <t>四</t>
        </is>
      </c>
      <c r="C23" s="7" t="n"/>
      <c r="D23" s="19">
        <f>A23-WEEKDAY(A23,2)+1</f>
        <v/>
      </c>
      <c r="E23" s="20">
        <f>SUMIF($D$4:$D$187,D23,$C$4:$C$187)</f>
        <v/>
      </c>
      <c r="F23" s="21">
        <f>TEXT(A23,"YYYY-MM")</f>
        <v/>
      </c>
    </row>
    <row r="24">
      <c r="A24" s="17" t="n">
        <v>46255</v>
      </c>
      <c r="B24" s="21" t="inlineStr">
        <is>
          <t>五</t>
        </is>
      </c>
      <c r="C24" s="7" t="n"/>
      <c r="D24" s="19">
        <f>A24-WEEKDAY(A24,2)+1</f>
        <v/>
      </c>
      <c r="E24" s="20">
        <f>SUMIF($D$4:$D$187,D24,$C$4:$C$187)</f>
        <v/>
      </c>
      <c r="F24" s="21">
        <f>TEXT(A24,"YYYY-MM")</f>
        <v/>
      </c>
    </row>
    <row r="25">
      <c r="A25" s="17" t="n">
        <v>46256</v>
      </c>
      <c r="B25" s="18" t="inlineStr">
        <is>
          <t>六</t>
        </is>
      </c>
      <c r="C25" s="7" t="n"/>
      <c r="D25" s="19">
        <f>A25-WEEKDAY(A25,2)+1</f>
        <v/>
      </c>
      <c r="E25" s="20">
        <f>SUMIF($D$4:$D$187,D25,$C$4:$C$187)</f>
        <v/>
      </c>
      <c r="F25" s="21">
        <f>TEXT(A25,"YYYY-MM")</f>
        <v/>
      </c>
    </row>
    <row r="26">
      <c r="A26" s="17" t="n">
        <v>46257</v>
      </c>
      <c r="B26" s="18" t="inlineStr">
        <is>
          <t>日</t>
        </is>
      </c>
      <c r="C26" s="7" t="n"/>
      <c r="D26" s="19">
        <f>A26-WEEKDAY(A26,2)+1</f>
        <v/>
      </c>
      <c r="E26" s="20">
        <f>SUMIF($D$4:$D$187,D26,$C$4:$C$187)</f>
        <v/>
      </c>
      <c r="F26" s="21">
        <f>TEXT(A26,"YYYY-MM")</f>
        <v/>
      </c>
    </row>
    <row r="27">
      <c r="A27" s="17" t="n">
        <v>46258</v>
      </c>
      <c r="B27" s="21" t="inlineStr">
        <is>
          <t>一</t>
        </is>
      </c>
      <c r="C27" s="7" t="n"/>
      <c r="D27" s="19">
        <f>A27-WEEKDAY(A27,2)+1</f>
        <v/>
      </c>
      <c r="E27" s="20">
        <f>SUMIF($D$4:$D$187,D27,$C$4:$C$187)</f>
        <v/>
      </c>
      <c r="F27" s="21">
        <f>TEXT(A27,"YYYY-MM")</f>
        <v/>
      </c>
    </row>
    <row r="28">
      <c r="A28" s="17" t="n">
        <v>46259</v>
      </c>
      <c r="B28" s="21" t="inlineStr">
        <is>
          <t>二</t>
        </is>
      </c>
      <c r="C28" s="7" t="n"/>
      <c r="D28" s="19">
        <f>A28-WEEKDAY(A28,2)+1</f>
        <v/>
      </c>
      <c r="E28" s="20">
        <f>SUMIF($D$4:$D$187,D28,$C$4:$C$187)</f>
        <v/>
      </c>
      <c r="F28" s="21">
        <f>TEXT(A28,"YYYY-MM")</f>
        <v/>
      </c>
    </row>
    <row r="29">
      <c r="A29" s="17" t="n">
        <v>46260</v>
      </c>
      <c r="B29" s="21" t="inlineStr">
        <is>
          <t>三</t>
        </is>
      </c>
      <c r="C29" s="7" t="n"/>
      <c r="D29" s="19">
        <f>A29-WEEKDAY(A29,2)+1</f>
        <v/>
      </c>
      <c r="E29" s="20">
        <f>SUMIF($D$4:$D$187,D29,$C$4:$C$187)</f>
        <v/>
      </c>
      <c r="F29" s="21">
        <f>TEXT(A29,"YYYY-MM")</f>
        <v/>
      </c>
    </row>
    <row r="30">
      <c r="A30" s="17" t="n">
        <v>46261</v>
      </c>
      <c r="B30" s="21" t="inlineStr">
        <is>
          <t>四</t>
        </is>
      </c>
      <c r="C30" s="7" t="n"/>
      <c r="D30" s="19">
        <f>A30-WEEKDAY(A30,2)+1</f>
        <v/>
      </c>
      <c r="E30" s="20">
        <f>SUMIF($D$4:$D$187,D30,$C$4:$C$187)</f>
        <v/>
      </c>
      <c r="F30" s="21">
        <f>TEXT(A30,"YYYY-MM")</f>
        <v/>
      </c>
    </row>
    <row r="31">
      <c r="A31" s="17" t="n">
        <v>46262</v>
      </c>
      <c r="B31" s="21" t="inlineStr">
        <is>
          <t>五</t>
        </is>
      </c>
      <c r="C31" s="7" t="n"/>
      <c r="D31" s="19">
        <f>A31-WEEKDAY(A31,2)+1</f>
        <v/>
      </c>
      <c r="E31" s="20">
        <f>SUMIF($D$4:$D$187,D31,$C$4:$C$187)</f>
        <v/>
      </c>
      <c r="F31" s="21">
        <f>TEXT(A31,"YYYY-MM")</f>
        <v/>
      </c>
    </row>
    <row r="32">
      <c r="A32" s="17" t="n">
        <v>46263</v>
      </c>
      <c r="B32" s="18" t="inlineStr">
        <is>
          <t>六</t>
        </is>
      </c>
      <c r="C32" s="7" t="n"/>
      <c r="D32" s="19">
        <f>A32-WEEKDAY(A32,2)+1</f>
        <v/>
      </c>
      <c r="E32" s="20">
        <f>SUMIF($D$4:$D$187,D32,$C$4:$C$187)</f>
        <v/>
      </c>
      <c r="F32" s="21">
        <f>TEXT(A32,"YYYY-MM")</f>
        <v/>
      </c>
    </row>
    <row r="33">
      <c r="A33" s="17" t="n">
        <v>46264</v>
      </c>
      <c r="B33" s="18" t="inlineStr">
        <is>
          <t>日</t>
        </is>
      </c>
      <c r="C33" s="7" t="n"/>
      <c r="D33" s="19">
        <f>A33-WEEKDAY(A33,2)+1</f>
        <v/>
      </c>
      <c r="E33" s="20">
        <f>SUMIF($D$4:$D$187,D33,$C$4:$C$187)</f>
        <v/>
      </c>
      <c r="F33" s="21">
        <f>TEXT(A33,"YYYY-MM")</f>
        <v/>
      </c>
    </row>
    <row r="34">
      <c r="A34" s="17" t="n">
        <v>46265</v>
      </c>
      <c r="B34" s="21" t="inlineStr">
        <is>
          <t>一</t>
        </is>
      </c>
      <c r="C34" s="7" t="n"/>
      <c r="D34" s="19">
        <f>A34-WEEKDAY(A34,2)+1</f>
        <v/>
      </c>
      <c r="E34" s="20">
        <f>SUMIF($D$4:$D$187,D34,$C$4:$C$187)</f>
        <v/>
      </c>
      <c r="F34" s="21">
        <f>TEXT(A34,"YYYY-MM")</f>
        <v/>
      </c>
    </row>
    <row r="35">
      <c r="A35" s="17" t="n">
        <v>46266</v>
      </c>
      <c r="B35" s="21" t="inlineStr">
        <is>
          <t>二</t>
        </is>
      </c>
      <c r="C35" s="7" t="n"/>
      <c r="D35" s="19">
        <f>A35-WEEKDAY(A35,2)+1</f>
        <v/>
      </c>
      <c r="E35" s="20">
        <f>SUMIF($D$4:$D$187,D35,$C$4:$C$187)</f>
        <v/>
      </c>
      <c r="F35" s="21">
        <f>TEXT(A35,"YYYY-MM")</f>
        <v/>
      </c>
    </row>
    <row r="36">
      <c r="A36" s="17" t="n">
        <v>46267</v>
      </c>
      <c r="B36" s="21" t="inlineStr">
        <is>
          <t>三</t>
        </is>
      </c>
      <c r="C36" s="7" t="n"/>
      <c r="D36" s="19">
        <f>A36-WEEKDAY(A36,2)+1</f>
        <v/>
      </c>
      <c r="E36" s="20">
        <f>SUMIF($D$4:$D$187,D36,$C$4:$C$187)</f>
        <v/>
      </c>
      <c r="F36" s="21">
        <f>TEXT(A36,"YYYY-MM")</f>
        <v/>
      </c>
    </row>
    <row r="37">
      <c r="A37" s="17" t="n">
        <v>46268</v>
      </c>
      <c r="B37" s="21" t="inlineStr">
        <is>
          <t>四</t>
        </is>
      </c>
      <c r="C37" s="7" t="n"/>
      <c r="D37" s="19">
        <f>A37-WEEKDAY(A37,2)+1</f>
        <v/>
      </c>
      <c r="E37" s="20">
        <f>SUMIF($D$4:$D$187,D37,$C$4:$C$187)</f>
        <v/>
      </c>
      <c r="F37" s="21">
        <f>TEXT(A37,"YYYY-MM")</f>
        <v/>
      </c>
    </row>
    <row r="38">
      <c r="A38" s="17" t="n">
        <v>46269</v>
      </c>
      <c r="B38" s="21" t="inlineStr">
        <is>
          <t>五</t>
        </is>
      </c>
      <c r="C38" s="7" t="n"/>
      <c r="D38" s="19">
        <f>A38-WEEKDAY(A38,2)+1</f>
        <v/>
      </c>
      <c r="E38" s="20">
        <f>SUMIF($D$4:$D$187,D38,$C$4:$C$187)</f>
        <v/>
      </c>
      <c r="F38" s="21">
        <f>TEXT(A38,"YYYY-MM")</f>
        <v/>
      </c>
    </row>
    <row r="39">
      <c r="A39" s="17" t="n">
        <v>46270</v>
      </c>
      <c r="B39" s="18" t="inlineStr">
        <is>
          <t>六</t>
        </is>
      </c>
      <c r="C39" s="7" t="n"/>
      <c r="D39" s="19">
        <f>A39-WEEKDAY(A39,2)+1</f>
        <v/>
      </c>
      <c r="E39" s="20">
        <f>SUMIF($D$4:$D$187,D39,$C$4:$C$187)</f>
        <v/>
      </c>
      <c r="F39" s="21">
        <f>TEXT(A39,"YYYY-MM")</f>
        <v/>
      </c>
    </row>
    <row r="40">
      <c r="A40" s="17" t="n">
        <v>46271</v>
      </c>
      <c r="B40" s="18" t="inlineStr">
        <is>
          <t>日</t>
        </is>
      </c>
      <c r="C40" s="7" t="n"/>
      <c r="D40" s="19">
        <f>A40-WEEKDAY(A40,2)+1</f>
        <v/>
      </c>
      <c r="E40" s="20">
        <f>SUMIF($D$4:$D$187,D40,$C$4:$C$187)</f>
        <v/>
      </c>
      <c r="F40" s="21">
        <f>TEXT(A40,"YYYY-MM")</f>
        <v/>
      </c>
    </row>
    <row r="41">
      <c r="A41" s="17" t="n">
        <v>46272</v>
      </c>
      <c r="B41" s="21" t="inlineStr">
        <is>
          <t>一</t>
        </is>
      </c>
      <c r="C41" s="7" t="n"/>
      <c r="D41" s="19">
        <f>A41-WEEKDAY(A41,2)+1</f>
        <v/>
      </c>
      <c r="E41" s="20">
        <f>SUMIF($D$4:$D$187,D41,$C$4:$C$187)</f>
        <v/>
      </c>
      <c r="F41" s="21">
        <f>TEXT(A41,"YYYY-MM")</f>
        <v/>
      </c>
    </row>
    <row r="42">
      <c r="A42" s="17" t="n">
        <v>46273</v>
      </c>
      <c r="B42" s="21" t="inlineStr">
        <is>
          <t>二</t>
        </is>
      </c>
      <c r="C42" s="7" t="n"/>
      <c r="D42" s="19">
        <f>A42-WEEKDAY(A42,2)+1</f>
        <v/>
      </c>
      <c r="E42" s="20">
        <f>SUMIF($D$4:$D$187,D42,$C$4:$C$187)</f>
        <v/>
      </c>
      <c r="F42" s="21">
        <f>TEXT(A42,"YYYY-MM")</f>
        <v/>
      </c>
    </row>
    <row r="43">
      <c r="A43" s="17" t="n">
        <v>46274</v>
      </c>
      <c r="B43" s="21" t="inlineStr">
        <is>
          <t>三</t>
        </is>
      </c>
      <c r="C43" s="7" t="n"/>
      <c r="D43" s="19">
        <f>A43-WEEKDAY(A43,2)+1</f>
        <v/>
      </c>
      <c r="E43" s="20">
        <f>SUMIF($D$4:$D$187,D43,$C$4:$C$187)</f>
        <v/>
      </c>
      <c r="F43" s="21">
        <f>TEXT(A43,"YYYY-MM")</f>
        <v/>
      </c>
    </row>
    <row r="44">
      <c r="A44" s="17" t="n">
        <v>46275</v>
      </c>
      <c r="B44" s="21" t="inlineStr">
        <is>
          <t>四</t>
        </is>
      </c>
      <c r="C44" s="7" t="n"/>
      <c r="D44" s="19">
        <f>A44-WEEKDAY(A44,2)+1</f>
        <v/>
      </c>
      <c r="E44" s="20">
        <f>SUMIF($D$4:$D$187,D44,$C$4:$C$187)</f>
        <v/>
      </c>
      <c r="F44" s="21">
        <f>TEXT(A44,"YYYY-MM")</f>
        <v/>
      </c>
    </row>
    <row r="45">
      <c r="A45" s="17" t="n">
        <v>46276</v>
      </c>
      <c r="B45" s="21" t="inlineStr">
        <is>
          <t>五</t>
        </is>
      </c>
      <c r="C45" s="7" t="n"/>
      <c r="D45" s="19">
        <f>A45-WEEKDAY(A45,2)+1</f>
        <v/>
      </c>
      <c r="E45" s="20">
        <f>SUMIF($D$4:$D$187,D45,$C$4:$C$187)</f>
        <v/>
      </c>
      <c r="F45" s="21">
        <f>TEXT(A45,"YYYY-MM")</f>
        <v/>
      </c>
    </row>
    <row r="46">
      <c r="A46" s="17" t="n">
        <v>46277</v>
      </c>
      <c r="B46" s="18" t="inlineStr">
        <is>
          <t>六</t>
        </is>
      </c>
      <c r="C46" s="7" t="n"/>
      <c r="D46" s="19">
        <f>A46-WEEKDAY(A46,2)+1</f>
        <v/>
      </c>
      <c r="E46" s="20">
        <f>SUMIF($D$4:$D$187,D46,$C$4:$C$187)</f>
        <v/>
      </c>
      <c r="F46" s="21">
        <f>TEXT(A46,"YYYY-MM")</f>
        <v/>
      </c>
    </row>
    <row r="47">
      <c r="A47" s="17" t="n">
        <v>46278</v>
      </c>
      <c r="B47" s="18" t="inlineStr">
        <is>
          <t>日</t>
        </is>
      </c>
      <c r="C47" s="7" t="n"/>
      <c r="D47" s="19">
        <f>A47-WEEKDAY(A47,2)+1</f>
        <v/>
      </c>
      <c r="E47" s="20">
        <f>SUMIF($D$4:$D$187,D47,$C$4:$C$187)</f>
        <v/>
      </c>
      <c r="F47" s="21">
        <f>TEXT(A47,"YYYY-MM")</f>
        <v/>
      </c>
    </row>
    <row r="48">
      <c r="A48" s="17" t="n">
        <v>46279</v>
      </c>
      <c r="B48" s="21" t="inlineStr">
        <is>
          <t>一</t>
        </is>
      </c>
      <c r="C48" s="7" t="n"/>
      <c r="D48" s="19">
        <f>A48-WEEKDAY(A48,2)+1</f>
        <v/>
      </c>
      <c r="E48" s="20">
        <f>SUMIF($D$4:$D$187,D48,$C$4:$C$187)</f>
        <v/>
      </c>
      <c r="F48" s="21">
        <f>TEXT(A48,"YYYY-MM")</f>
        <v/>
      </c>
    </row>
    <row r="49">
      <c r="A49" s="17" t="n">
        <v>46280</v>
      </c>
      <c r="B49" s="21" t="inlineStr">
        <is>
          <t>二</t>
        </is>
      </c>
      <c r="C49" s="7" t="n"/>
      <c r="D49" s="19">
        <f>A49-WEEKDAY(A49,2)+1</f>
        <v/>
      </c>
      <c r="E49" s="20">
        <f>SUMIF($D$4:$D$187,D49,$C$4:$C$187)</f>
        <v/>
      </c>
      <c r="F49" s="21">
        <f>TEXT(A49,"YYYY-MM")</f>
        <v/>
      </c>
    </row>
    <row r="50">
      <c r="A50" s="17" t="n">
        <v>46281</v>
      </c>
      <c r="B50" s="21" t="inlineStr">
        <is>
          <t>三</t>
        </is>
      </c>
      <c r="C50" s="7" t="n"/>
      <c r="D50" s="19">
        <f>A50-WEEKDAY(A50,2)+1</f>
        <v/>
      </c>
      <c r="E50" s="20">
        <f>SUMIF($D$4:$D$187,D50,$C$4:$C$187)</f>
        <v/>
      </c>
      <c r="F50" s="21">
        <f>TEXT(A50,"YYYY-MM")</f>
        <v/>
      </c>
    </row>
    <row r="51">
      <c r="A51" s="17" t="n">
        <v>46282</v>
      </c>
      <c r="B51" s="21" t="inlineStr">
        <is>
          <t>四</t>
        </is>
      </c>
      <c r="C51" s="7" t="n"/>
      <c r="D51" s="19">
        <f>A51-WEEKDAY(A51,2)+1</f>
        <v/>
      </c>
      <c r="E51" s="20">
        <f>SUMIF($D$4:$D$187,D51,$C$4:$C$187)</f>
        <v/>
      </c>
      <c r="F51" s="21">
        <f>TEXT(A51,"YYYY-MM")</f>
        <v/>
      </c>
    </row>
    <row r="52">
      <c r="A52" s="17" t="n">
        <v>46283</v>
      </c>
      <c r="B52" s="21" t="inlineStr">
        <is>
          <t>五</t>
        </is>
      </c>
      <c r="C52" s="7" t="n"/>
      <c r="D52" s="19">
        <f>A52-WEEKDAY(A52,2)+1</f>
        <v/>
      </c>
      <c r="E52" s="20">
        <f>SUMIF($D$4:$D$187,D52,$C$4:$C$187)</f>
        <v/>
      </c>
      <c r="F52" s="21">
        <f>TEXT(A52,"YYYY-MM")</f>
        <v/>
      </c>
    </row>
    <row r="53">
      <c r="A53" s="17" t="n">
        <v>46284</v>
      </c>
      <c r="B53" s="18" t="inlineStr">
        <is>
          <t>六</t>
        </is>
      </c>
      <c r="C53" s="7" t="n"/>
      <c r="D53" s="19">
        <f>A53-WEEKDAY(A53,2)+1</f>
        <v/>
      </c>
      <c r="E53" s="20">
        <f>SUMIF($D$4:$D$187,D53,$C$4:$C$187)</f>
        <v/>
      </c>
      <c r="F53" s="21">
        <f>TEXT(A53,"YYYY-MM")</f>
        <v/>
      </c>
    </row>
    <row r="54">
      <c r="A54" s="17" t="n">
        <v>46285</v>
      </c>
      <c r="B54" s="18" t="inlineStr">
        <is>
          <t>日</t>
        </is>
      </c>
      <c r="C54" s="7" t="n"/>
      <c r="D54" s="19">
        <f>A54-WEEKDAY(A54,2)+1</f>
        <v/>
      </c>
      <c r="E54" s="20">
        <f>SUMIF($D$4:$D$187,D54,$C$4:$C$187)</f>
        <v/>
      </c>
      <c r="F54" s="21">
        <f>TEXT(A54,"YYYY-MM")</f>
        <v/>
      </c>
    </row>
    <row r="55">
      <c r="A55" s="17" t="n">
        <v>46286</v>
      </c>
      <c r="B55" s="21" t="inlineStr">
        <is>
          <t>一</t>
        </is>
      </c>
      <c r="C55" s="7" t="n"/>
      <c r="D55" s="19">
        <f>A55-WEEKDAY(A55,2)+1</f>
        <v/>
      </c>
      <c r="E55" s="20">
        <f>SUMIF($D$4:$D$187,D55,$C$4:$C$187)</f>
        <v/>
      </c>
      <c r="F55" s="21">
        <f>TEXT(A55,"YYYY-MM")</f>
        <v/>
      </c>
    </row>
    <row r="56">
      <c r="A56" s="17" t="n">
        <v>46287</v>
      </c>
      <c r="B56" s="21" t="inlineStr">
        <is>
          <t>二</t>
        </is>
      </c>
      <c r="C56" s="7" t="n"/>
      <c r="D56" s="19">
        <f>A56-WEEKDAY(A56,2)+1</f>
        <v/>
      </c>
      <c r="E56" s="20">
        <f>SUMIF($D$4:$D$187,D56,$C$4:$C$187)</f>
        <v/>
      </c>
      <c r="F56" s="21">
        <f>TEXT(A56,"YYYY-MM")</f>
        <v/>
      </c>
    </row>
    <row r="57">
      <c r="A57" s="17" t="n">
        <v>46288</v>
      </c>
      <c r="B57" s="21" t="inlineStr">
        <is>
          <t>三</t>
        </is>
      </c>
      <c r="C57" s="7" t="n"/>
      <c r="D57" s="19">
        <f>A57-WEEKDAY(A57,2)+1</f>
        <v/>
      </c>
      <c r="E57" s="20">
        <f>SUMIF($D$4:$D$187,D57,$C$4:$C$187)</f>
        <v/>
      </c>
      <c r="F57" s="21">
        <f>TEXT(A57,"YYYY-MM")</f>
        <v/>
      </c>
    </row>
    <row r="58">
      <c r="A58" s="17" t="n">
        <v>46289</v>
      </c>
      <c r="B58" s="21" t="inlineStr">
        <is>
          <t>四</t>
        </is>
      </c>
      <c r="C58" s="7" t="n"/>
      <c r="D58" s="19">
        <f>A58-WEEKDAY(A58,2)+1</f>
        <v/>
      </c>
      <c r="E58" s="20">
        <f>SUMIF($D$4:$D$187,D58,$C$4:$C$187)</f>
        <v/>
      </c>
      <c r="F58" s="21">
        <f>TEXT(A58,"YYYY-MM")</f>
        <v/>
      </c>
    </row>
    <row r="59">
      <c r="A59" s="17" t="n">
        <v>46290</v>
      </c>
      <c r="B59" s="21" t="inlineStr">
        <is>
          <t>五</t>
        </is>
      </c>
      <c r="C59" s="7" t="n"/>
      <c r="D59" s="19">
        <f>A59-WEEKDAY(A59,2)+1</f>
        <v/>
      </c>
      <c r="E59" s="20">
        <f>SUMIF($D$4:$D$187,D59,$C$4:$C$187)</f>
        <v/>
      </c>
      <c r="F59" s="21">
        <f>TEXT(A59,"YYYY-MM")</f>
        <v/>
      </c>
    </row>
    <row r="60">
      <c r="A60" s="17" t="n">
        <v>46291</v>
      </c>
      <c r="B60" s="18" t="inlineStr">
        <is>
          <t>六</t>
        </is>
      </c>
      <c r="C60" s="7" t="n"/>
      <c r="D60" s="19">
        <f>A60-WEEKDAY(A60,2)+1</f>
        <v/>
      </c>
      <c r="E60" s="20">
        <f>SUMIF($D$4:$D$187,D60,$C$4:$C$187)</f>
        <v/>
      </c>
      <c r="F60" s="21">
        <f>TEXT(A60,"YYYY-MM")</f>
        <v/>
      </c>
    </row>
    <row r="61">
      <c r="A61" s="17" t="n">
        <v>46292</v>
      </c>
      <c r="B61" s="18" t="inlineStr">
        <is>
          <t>日</t>
        </is>
      </c>
      <c r="C61" s="7" t="n"/>
      <c r="D61" s="19">
        <f>A61-WEEKDAY(A61,2)+1</f>
        <v/>
      </c>
      <c r="E61" s="20">
        <f>SUMIF($D$4:$D$187,D61,$C$4:$C$187)</f>
        <v/>
      </c>
      <c r="F61" s="21">
        <f>TEXT(A61,"YYYY-MM")</f>
        <v/>
      </c>
    </row>
    <row r="62">
      <c r="A62" s="17" t="n">
        <v>46293</v>
      </c>
      <c r="B62" s="21" t="inlineStr">
        <is>
          <t>一</t>
        </is>
      </c>
      <c r="C62" s="7" t="n"/>
      <c r="D62" s="19">
        <f>A62-WEEKDAY(A62,2)+1</f>
        <v/>
      </c>
      <c r="E62" s="20">
        <f>SUMIF($D$4:$D$187,D62,$C$4:$C$187)</f>
        <v/>
      </c>
      <c r="F62" s="21">
        <f>TEXT(A62,"YYYY-MM")</f>
        <v/>
      </c>
    </row>
    <row r="63">
      <c r="A63" s="17" t="n">
        <v>46294</v>
      </c>
      <c r="B63" s="21" t="inlineStr">
        <is>
          <t>二</t>
        </is>
      </c>
      <c r="C63" s="7" t="n"/>
      <c r="D63" s="19">
        <f>A63-WEEKDAY(A63,2)+1</f>
        <v/>
      </c>
      <c r="E63" s="20">
        <f>SUMIF($D$4:$D$187,D63,$C$4:$C$187)</f>
        <v/>
      </c>
      <c r="F63" s="21">
        <f>TEXT(A63,"YYYY-MM")</f>
        <v/>
      </c>
    </row>
    <row r="64">
      <c r="A64" s="17" t="n">
        <v>46295</v>
      </c>
      <c r="B64" s="21" t="inlineStr">
        <is>
          <t>三</t>
        </is>
      </c>
      <c r="C64" s="7" t="n"/>
      <c r="D64" s="19">
        <f>A64-WEEKDAY(A64,2)+1</f>
        <v/>
      </c>
      <c r="E64" s="20">
        <f>SUMIF($D$4:$D$187,D64,$C$4:$C$187)</f>
        <v/>
      </c>
      <c r="F64" s="21">
        <f>TEXT(A64,"YYYY-MM")</f>
        <v/>
      </c>
    </row>
    <row r="65">
      <c r="A65" s="17" t="n">
        <v>46296</v>
      </c>
      <c r="B65" s="21" t="inlineStr">
        <is>
          <t>四</t>
        </is>
      </c>
      <c r="C65" s="7" t="n"/>
      <c r="D65" s="19">
        <f>A65-WEEKDAY(A65,2)+1</f>
        <v/>
      </c>
      <c r="E65" s="20">
        <f>SUMIF($D$4:$D$187,D65,$C$4:$C$187)</f>
        <v/>
      </c>
      <c r="F65" s="21">
        <f>TEXT(A65,"YYYY-MM")</f>
        <v/>
      </c>
    </row>
    <row r="66">
      <c r="A66" s="17" t="n">
        <v>46297</v>
      </c>
      <c r="B66" s="21" t="inlineStr">
        <is>
          <t>五</t>
        </is>
      </c>
      <c r="C66" s="7" t="n"/>
      <c r="D66" s="19">
        <f>A66-WEEKDAY(A66,2)+1</f>
        <v/>
      </c>
      <c r="E66" s="20">
        <f>SUMIF($D$4:$D$187,D66,$C$4:$C$187)</f>
        <v/>
      </c>
      <c r="F66" s="21">
        <f>TEXT(A66,"YYYY-MM")</f>
        <v/>
      </c>
    </row>
    <row r="67">
      <c r="A67" s="17" t="n">
        <v>46298</v>
      </c>
      <c r="B67" s="18" t="inlineStr">
        <is>
          <t>六</t>
        </is>
      </c>
      <c r="C67" s="7" t="n"/>
      <c r="D67" s="19">
        <f>A67-WEEKDAY(A67,2)+1</f>
        <v/>
      </c>
      <c r="E67" s="20">
        <f>SUMIF($D$4:$D$187,D67,$C$4:$C$187)</f>
        <v/>
      </c>
      <c r="F67" s="21">
        <f>TEXT(A67,"YYYY-MM")</f>
        <v/>
      </c>
    </row>
    <row r="68">
      <c r="A68" s="17" t="n">
        <v>46299</v>
      </c>
      <c r="B68" s="18" t="inlineStr">
        <is>
          <t>日</t>
        </is>
      </c>
      <c r="C68" s="7" t="n"/>
      <c r="D68" s="19">
        <f>A68-WEEKDAY(A68,2)+1</f>
        <v/>
      </c>
      <c r="E68" s="20">
        <f>SUMIF($D$4:$D$187,D68,$C$4:$C$187)</f>
        <v/>
      </c>
      <c r="F68" s="21">
        <f>TEXT(A68,"YYYY-MM")</f>
        <v/>
      </c>
    </row>
    <row r="69">
      <c r="A69" s="17" t="n">
        <v>46300</v>
      </c>
      <c r="B69" s="21" t="inlineStr">
        <is>
          <t>一</t>
        </is>
      </c>
      <c r="C69" s="7" t="n"/>
      <c r="D69" s="19">
        <f>A69-WEEKDAY(A69,2)+1</f>
        <v/>
      </c>
      <c r="E69" s="20">
        <f>SUMIF($D$4:$D$187,D69,$C$4:$C$187)</f>
        <v/>
      </c>
      <c r="F69" s="21">
        <f>TEXT(A69,"YYYY-MM")</f>
        <v/>
      </c>
    </row>
    <row r="70">
      <c r="A70" s="17" t="n">
        <v>46301</v>
      </c>
      <c r="B70" s="21" t="inlineStr">
        <is>
          <t>二</t>
        </is>
      </c>
      <c r="C70" s="7" t="n"/>
      <c r="D70" s="19">
        <f>A70-WEEKDAY(A70,2)+1</f>
        <v/>
      </c>
      <c r="E70" s="20">
        <f>SUMIF($D$4:$D$187,D70,$C$4:$C$187)</f>
        <v/>
      </c>
      <c r="F70" s="21">
        <f>TEXT(A70,"YYYY-MM")</f>
        <v/>
      </c>
    </row>
    <row r="71">
      <c r="A71" s="17" t="n">
        <v>46302</v>
      </c>
      <c r="B71" s="21" t="inlineStr">
        <is>
          <t>三</t>
        </is>
      </c>
      <c r="C71" s="7" t="n"/>
      <c r="D71" s="19">
        <f>A71-WEEKDAY(A71,2)+1</f>
        <v/>
      </c>
      <c r="E71" s="20">
        <f>SUMIF($D$4:$D$187,D71,$C$4:$C$187)</f>
        <v/>
      </c>
      <c r="F71" s="21">
        <f>TEXT(A71,"YYYY-MM")</f>
        <v/>
      </c>
    </row>
    <row r="72">
      <c r="A72" s="17" t="n">
        <v>46303</v>
      </c>
      <c r="B72" s="21" t="inlineStr">
        <is>
          <t>四</t>
        </is>
      </c>
      <c r="C72" s="7" t="n"/>
      <c r="D72" s="19">
        <f>A72-WEEKDAY(A72,2)+1</f>
        <v/>
      </c>
      <c r="E72" s="20">
        <f>SUMIF($D$4:$D$187,D72,$C$4:$C$187)</f>
        <v/>
      </c>
      <c r="F72" s="21">
        <f>TEXT(A72,"YYYY-MM")</f>
        <v/>
      </c>
    </row>
    <row r="73">
      <c r="A73" s="17" t="n">
        <v>46304</v>
      </c>
      <c r="B73" s="21" t="inlineStr">
        <is>
          <t>五</t>
        </is>
      </c>
      <c r="C73" s="7" t="n"/>
      <c r="D73" s="19">
        <f>A73-WEEKDAY(A73,2)+1</f>
        <v/>
      </c>
      <c r="E73" s="20">
        <f>SUMIF($D$4:$D$187,D73,$C$4:$C$187)</f>
        <v/>
      </c>
      <c r="F73" s="21">
        <f>TEXT(A73,"YYYY-MM")</f>
        <v/>
      </c>
    </row>
    <row r="74">
      <c r="A74" s="17" t="n">
        <v>46305</v>
      </c>
      <c r="B74" s="18" t="inlineStr">
        <is>
          <t>六</t>
        </is>
      </c>
      <c r="C74" s="7" t="n"/>
      <c r="D74" s="19">
        <f>A74-WEEKDAY(A74,2)+1</f>
        <v/>
      </c>
      <c r="E74" s="20">
        <f>SUMIF($D$4:$D$187,D74,$C$4:$C$187)</f>
        <v/>
      </c>
      <c r="F74" s="21">
        <f>TEXT(A74,"YYYY-MM")</f>
        <v/>
      </c>
    </row>
    <row r="75">
      <c r="A75" s="17" t="n">
        <v>46306</v>
      </c>
      <c r="B75" s="18" t="inlineStr">
        <is>
          <t>日</t>
        </is>
      </c>
      <c r="C75" s="7" t="n"/>
      <c r="D75" s="19">
        <f>A75-WEEKDAY(A75,2)+1</f>
        <v/>
      </c>
      <c r="E75" s="20">
        <f>SUMIF($D$4:$D$187,D75,$C$4:$C$187)</f>
        <v/>
      </c>
      <c r="F75" s="21">
        <f>TEXT(A75,"YYYY-MM")</f>
        <v/>
      </c>
    </row>
    <row r="76">
      <c r="A76" s="17" t="n">
        <v>46307</v>
      </c>
      <c r="B76" s="21" t="inlineStr">
        <is>
          <t>一</t>
        </is>
      </c>
      <c r="C76" s="7" t="n"/>
      <c r="D76" s="19">
        <f>A76-WEEKDAY(A76,2)+1</f>
        <v/>
      </c>
      <c r="E76" s="20">
        <f>SUMIF($D$4:$D$187,D76,$C$4:$C$187)</f>
        <v/>
      </c>
      <c r="F76" s="21">
        <f>TEXT(A76,"YYYY-MM")</f>
        <v/>
      </c>
    </row>
    <row r="77">
      <c r="A77" s="17" t="n">
        <v>46308</v>
      </c>
      <c r="B77" s="21" t="inlineStr">
        <is>
          <t>二</t>
        </is>
      </c>
      <c r="C77" s="7" t="n"/>
      <c r="D77" s="19">
        <f>A77-WEEKDAY(A77,2)+1</f>
        <v/>
      </c>
      <c r="E77" s="20">
        <f>SUMIF($D$4:$D$187,D77,$C$4:$C$187)</f>
        <v/>
      </c>
      <c r="F77" s="21">
        <f>TEXT(A77,"YYYY-MM")</f>
        <v/>
      </c>
    </row>
    <row r="78">
      <c r="A78" s="17" t="n">
        <v>46309</v>
      </c>
      <c r="B78" s="21" t="inlineStr">
        <is>
          <t>三</t>
        </is>
      </c>
      <c r="C78" s="7" t="n"/>
      <c r="D78" s="19">
        <f>A78-WEEKDAY(A78,2)+1</f>
        <v/>
      </c>
      <c r="E78" s="20">
        <f>SUMIF($D$4:$D$187,D78,$C$4:$C$187)</f>
        <v/>
      </c>
      <c r="F78" s="21">
        <f>TEXT(A78,"YYYY-MM")</f>
        <v/>
      </c>
    </row>
    <row r="79">
      <c r="A79" s="17" t="n">
        <v>46310</v>
      </c>
      <c r="B79" s="21" t="inlineStr">
        <is>
          <t>四</t>
        </is>
      </c>
      <c r="C79" s="7" t="n"/>
      <c r="D79" s="19">
        <f>A79-WEEKDAY(A79,2)+1</f>
        <v/>
      </c>
      <c r="E79" s="20">
        <f>SUMIF($D$4:$D$187,D79,$C$4:$C$187)</f>
        <v/>
      </c>
      <c r="F79" s="21">
        <f>TEXT(A79,"YYYY-MM")</f>
        <v/>
      </c>
    </row>
    <row r="80">
      <c r="A80" s="17" t="n">
        <v>46311</v>
      </c>
      <c r="B80" s="21" t="inlineStr">
        <is>
          <t>五</t>
        </is>
      </c>
      <c r="C80" s="7" t="n"/>
      <c r="D80" s="19">
        <f>A80-WEEKDAY(A80,2)+1</f>
        <v/>
      </c>
      <c r="E80" s="20">
        <f>SUMIF($D$4:$D$187,D80,$C$4:$C$187)</f>
        <v/>
      </c>
      <c r="F80" s="21">
        <f>TEXT(A80,"YYYY-MM")</f>
        <v/>
      </c>
    </row>
    <row r="81">
      <c r="A81" s="17" t="n">
        <v>46312</v>
      </c>
      <c r="B81" s="18" t="inlineStr">
        <is>
          <t>六</t>
        </is>
      </c>
      <c r="C81" s="7" t="n"/>
      <c r="D81" s="19">
        <f>A81-WEEKDAY(A81,2)+1</f>
        <v/>
      </c>
      <c r="E81" s="20">
        <f>SUMIF($D$4:$D$187,D81,$C$4:$C$187)</f>
        <v/>
      </c>
      <c r="F81" s="21">
        <f>TEXT(A81,"YYYY-MM")</f>
        <v/>
      </c>
    </row>
    <row r="82">
      <c r="A82" s="17" t="n">
        <v>46313</v>
      </c>
      <c r="B82" s="18" t="inlineStr">
        <is>
          <t>日</t>
        </is>
      </c>
      <c r="C82" s="7" t="n"/>
      <c r="D82" s="19">
        <f>A82-WEEKDAY(A82,2)+1</f>
        <v/>
      </c>
      <c r="E82" s="20">
        <f>SUMIF($D$4:$D$187,D82,$C$4:$C$187)</f>
        <v/>
      </c>
      <c r="F82" s="21">
        <f>TEXT(A82,"YYYY-MM")</f>
        <v/>
      </c>
    </row>
    <row r="83">
      <c r="A83" s="17" t="n">
        <v>46314</v>
      </c>
      <c r="B83" s="21" t="inlineStr">
        <is>
          <t>一</t>
        </is>
      </c>
      <c r="C83" s="7" t="n"/>
      <c r="D83" s="19">
        <f>A83-WEEKDAY(A83,2)+1</f>
        <v/>
      </c>
      <c r="E83" s="20">
        <f>SUMIF($D$4:$D$187,D83,$C$4:$C$187)</f>
        <v/>
      </c>
      <c r="F83" s="21">
        <f>TEXT(A83,"YYYY-MM")</f>
        <v/>
      </c>
    </row>
    <row r="84">
      <c r="A84" s="17" t="n">
        <v>46315</v>
      </c>
      <c r="B84" s="21" t="inlineStr">
        <is>
          <t>二</t>
        </is>
      </c>
      <c r="C84" s="7" t="n"/>
      <c r="D84" s="19">
        <f>A84-WEEKDAY(A84,2)+1</f>
        <v/>
      </c>
      <c r="E84" s="20">
        <f>SUMIF($D$4:$D$187,D84,$C$4:$C$187)</f>
        <v/>
      </c>
      <c r="F84" s="21">
        <f>TEXT(A84,"YYYY-MM")</f>
        <v/>
      </c>
    </row>
    <row r="85">
      <c r="A85" s="17" t="n">
        <v>46316</v>
      </c>
      <c r="B85" s="21" t="inlineStr">
        <is>
          <t>三</t>
        </is>
      </c>
      <c r="C85" s="7" t="n"/>
      <c r="D85" s="19">
        <f>A85-WEEKDAY(A85,2)+1</f>
        <v/>
      </c>
      <c r="E85" s="20">
        <f>SUMIF($D$4:$D$187,D85,$C$4:$C$187)</f>
        <v/>
      </c>
      <c r="F85" s="21">
        <f>TEXT(A85,"YYYY-MM")</f>
        <v/>
      </c>
    </row>
    <row r="86">
      <c r="A86" s="17" t="n">
        <v>46317</v>
      </c>
      <c r="B86" s="21" t="inlineStr">
        <is>
          <t>四</t>
        </is>
      </c>
      <c r="C86" s="7" t="n"/>
      <c r="D86" s="19">
        <f>A86-WEEKDAY(A86,2)+1</f>
        <v/>
      </c>
      <c r="E86" s="20">
        <f>SUMIF($D$4:$D$187,D86,$C$4:$C$187)</f>
        <v/>
      </c>
      <c r="F86" s="21">
        <f>TEXT(A86,"YYYY-MM")</f>
        <v/>
      </c>
    </row>
    <row r="87">
      <c r="A87" s="17" t="n">
        <v>46318</v>
      </c>
      <c r="B87" s="21" t="inlineStr">
        <is>
          <t>五</t>
        </is>
      </c>
      <c r="C87" s="7" t="n"/>
      <c r="D87" s="19">
        <f>A87-WEEKDAY(A87,2)+1</f>
        <v/>
      </c>
      <c r="E87" s="20">
        <f>SUMIF($D$4:$D$187,D87,$C$4:$C$187)</f>
        <v/>
      </c>
      <c r="F87" s="21">
        <f>TEXT(A87,"YYYY-MM")</f>
        <v/>
      </c>
    </row>
    <row r="88">
      <c r="A88" s="17" t="n">
        <v>46319</v>
      </c>
      <c r="B88" s="18" t="inlineStr">
        <is>
          <t>六</t>
        </is>
      </c>
      <c r="C88" s="7" t="n"/>
      <c r="D88" s="19">
        <f>A88-WEEKDAY(A88,2)+1</f>
        <v/>
      </c>
      <c r="E88" s="20">
        <f>SUMIF($D$4:$D$187,D88,$C$4:$C$187)</f>
        <v/>
      </c>
      <c r="F88" s="21">
        <f>TEXT(A88,"YYYY-MM")</f>
        <v/>
      </c>
    </row>
    <row r="89">
      <c r="A89" s="17" t="n">
        <v>46320</v>
      </c>
      <c r="B89" s="18" t="inlineStr">
        <is>
          <t>日</t>
        </is>
      </c>
      <c r="C89" s="7" t="n"/>
      <c r="D89" s="19">
        <f>A89-WEEKDAY(A89,2)+1</f>
        <v/>
      </c>
      <c r="E89" s="20">
        <f>SUMIF($D$4:$D$187,D89,$C$4:$C$187)</f>
        <v/>
      </c>
      <c r="F89" s="21">
        <f>TEXT(A89,"YYYY-MM")</f>
        <v/>
      </c>
    </row>
    <row r="90">
      <c r="A90" s="17" t="n">
        <v>46321</v>
      </c>
      <c r="B90" s="21" t="inlineStr">
        <is>
          <t>一</t>
        </is>
      </c>
      <c r="C90" s="7" t="n"/>
      <c r="D90" s="19">
        <f>A90-WEEKDAY(A90,2)+1</f>
        <v/>
      </c>
      <c r="E90" s="20">
        <f>SUMIF($D$4:$D$187,D90,$C$4:$C$187)</f>
        <v/>
      </c>
      <c r="F90" s="21">
        <f>TEXT(A90,"YYYY-MM")</f>
        <v/>
      </c>
    </row>
    <row r="91">
      <c r="A91" s="17" t="n">
        <v>46322</v>
      </c>
      <c r="B91" s="21" t="inlineStr">
        <is>
          <t>二</t>
        </is>
      </c>
      <c r="C91" s="7" t="n"/>
      <c r="D91" s="19">
        <f>A91-WEEKDAY(A91,2)+1</f>
        <v/>
      </c>
      <c r="E91" s="20">
        <f>SUMIF($D$4:$D$187,D91,$C$4:$C$187)</f>
        <v/>
      </c>
      <c r="F91" s="21">
        <f>TEXT(A91,"YYYY-MM")</f>
        <v/>
      </c>
    </row>
    <row r="92">
      <c r="A92" s="17" t="n">
        <v>46323</v>
      </c>
      <c r="B92" s="21" t="inlineStr">
        <is>
          <t>三</t>
        </is>
      </c>
      <c r="C92" s="7" t="n"/>
      <c r="D92" s="19">
        <f>A92-WEEKDAY(A92,2)+1</f>
        <v/>
      </c>
      <c r="E92" s="20">
        <f>SUMIF($D$4:$D$187,D92,$C$4:$C$187)</f>
        <v/>
      </c>
      <c r="F92" s="21">
        <f>TEXT(A92,"YYYY-MM")</f>
        <v/>
      </c>
    </row>
    <row r="93">
      <c r="A93" s="17" t="n">
        <v>46324</v>
      </c>
      <c r="B93" s="21" t="inlineStr">
        <is>
          <t>四</t>
        </is>
      </c>
      <c r="C93" s="7" t="n"/>
      <c r="D93" s="19">
        <f>A93-WEEKDAY(A93,2)+1</f>
        <v/>
      </c>
      <c r="E93" s="20">
        <f>SUMIF($D$4:$D$187,D93,$C$4:$C$187)</f>
        <v/>
      </c>
      <c r="F93" s="21">
        <f>TEXT(A93,"YYYY-MM")</f>
        <v/>
      </c>
    </row>
    <row r="94">
      <c r="A94" s="17" t="n">
        <v>46325</v>
      </c>
      <c r="B94" s="21" t="inlineStr">
        <is>
          <t>五</t>
        </is>
      </c>
      <c r="C94" s="7" t="n"/>
      <c r="D94" s="19">
        <f>A94-WEEKDAY(A94,2)+1</f>
        <v/>
      </c>
      <c r="E94" s="20">
        <f>SUMIF($D$4:$D$187,D94,$C$4:$C$187)</f>
        <v/>
      </c>
      <c r="F94" s="21">
        <f>TEXT(A94,"YYYY-MM")</f>
        <v/>
      </c>
    </row>
    <row r="95">
      <c r="A95" s="17" t="n">
        <v>46326</v>
      </c>
      <c r="B95" s="18" t="inlineStr">
        <is>
          <t>六</t>
        </is>
      </c>
      <c r="C95" s="7" t="n"/>
      <c r="D95" s="19">
        <f>A95-WEEKDAY(A95,2)+1</f>
        <v/>
      </c>
      <c r="E95" s="20">
        <f>SUMIF($D$4:$D$187,D95,$C$4:$C$187)</f>
        <v/>
      </c>
      <c r="F95" s="21">
        <f>TEXT(A95,"YYYY-MM")</f>
        <v/>
      </c>
    </row>
    <row r="96">
      <c r="A96" s="17" t="n">
        <v>46327</v>
      </c>
      <c r="B96" s="18" t="inlineStr">
        <is>
          <t>日</t>
        </is>
      </c>
      <c r="C96" s="7" t="n"/>
      <c r="D96" s="19">
        <f>A96-WEEKDAY(A96,2)+1</f>
        <v/>
      </c>
      <c r="E96" s="20">
        <f>SUMIF($D$4:$D$187,D96,$C$4:$C$187)</f>
        <v/>
      </c>
      <c r="F96" s="21">
        <f>TEXT(A96,"YYYY-MM")</f>
        <v/>
      </c>
    </row>
    <row r="97">
      <c r="A97" s="17" t="n">
        <v>46328</v>
      </c>
      <c r="B97" s="21" t="inlineStr">
        <is>
          <t>一</t>
        </is>
      </c>
      <c r="C97" s="7" t="n"/>
      <c r="D97" s="19">
        <f>A97-WEEKDAY(A97,2)+1</f>
        <v/>
      </c>
      <c r="E97" s="20">
        <f>SUMIF($D$4:$D$187,D97,$C$4:$C$187)</f>
        <v/>
      </c>
      <c r="F97" s="21">
        <f>TEXT(A97,"YYYY-MM")</f>
        <v/>
      </c>
    </row>
    <row r="98">
      <c r="A98" s="17" t="n">
        <v>46329</v>
      </c>
      <c r="B98" s="21" t="inlineStr">
        <is>
          <t>二</t>
        </is>
      </c>
      <c r="C98" s="7" t="n"/>
      <c r="D98" s="19">
        <f>A98-WEEKDAY(A98,2)+1</f>
        <v/>
      </c>
      <c r="E98" s="20">
        <f>SUMIF($D$4:$D$187,D98,$C$4:$C$187)</f>
        <v/>
      </c>
      <c r="F98" s="21">
        <f>TEXT(A98,"YYYY-MM")</f>
        <v/>
      </c>
    </row>
    <row r="99">
      <c r="A99" s="17" t="n">
        <v>46330</v>
      </c>
      <c r="B99" s="21" t="inlineStr">
        <is>
          <t>三</t>
        </is>
      </c>
      <c r="C99" s="7" t="n"/>
      <c r="D99" s="19">
        <f>A99-WEEKDAY(A99,2)+1</f>
        <v/>
      </c>
      <c r="E99" s="20">
        <f>SUMIF($D$4:$D$187,D99,$C$4:$C$187)</f>
        <v/>
      </c>
      <c r="F99" s="21">
        <f>TEXT(A99,"YYYY-MM")</f>
        <v/>
      </c>
    </row>
    <row r="100">
      <c r="A100" s="17" t="n">
        <v>46331</v>
      </c>
      <c r="B100" s="21" t="inlineStr">
        <is>
          <t>四</t>
        </is>
      </c>
      <c r="C100" s="7" t="n"/>
      <c r="D100" s="19">
        <f>A100-WEEKDAY(A100,2)+1</f>
        <v/>
      </c>
      <c r="E100" s="20">
        <f>SUMIF($D$4:$D$187,D100,$C$4:$C$187)</f>
        <v/>
      </c>
      <c r="F100" s="21">
        <f>TEXT(A100,"YYYY-MM")</f>
        <v/>
      </c>
    </row>
    <row r="101">
      <c r="A101" s="17" t="n">
        <v>46332</v>
      </c>
      <c r="B101" s="21" t="inlineStr">
        <is>
          <t>五</t>
        </is>
      </c>
      <c r="C101" s="7" t="n"/>
      <c r="D101" s="19">
        <f>A101-WEEKDAY(A101,2)+1</f>
        <v/>
      </c>
      <c r="E101" s="20">
        <f>SUMIF($D$4:$D$187,D101,$C$4:$C$187)</f>
        <v/>
      </c>
      <c r="F101" s="21">
        <f>TEXT(A101,"YYYY-MM")</f>
        <v/>
      </c>
    </row>
    <row r="102">
      <c r="A102" s="17" t="n">
        <v>46333</v>
      </c>
      <c r="B102" s="18" t="inlineStr">
        <is>
          <t>六</t>
        </is>
      </c>
      <c r="C102" s="7" t="n"/>
      <c r="D102" s="19">
        <f>A102-WEEKDAY(A102,2)+1</f>
        <v/>
      </c>
      <c r="E102" s="20">
        <f>SUMIF($D$4:$D$187,D102,$C$4:$C$187)</f>
        <v/>
      </c>
      <c r="F102" s="21">
        <f>TEXT(A102,"YYYY-MM")</f>
        <v/>
      </c>
    </row>
    <row r="103">
      <c r="A103" s="17" t="n">
        <v>46334</v>
      </c>
      <c r="B103" s="18" t="inlineStr">
        <is>
          <t>日</t>
        </is>
      </c>
      <c r="C103" s="7" t="n"/>
      <c r="D103" s="19">
        <f>A103-WEEKDAY(A103,2)+1</f>
        <v/>
      </c>
      <c r="E103" s="20">
        <f>SUMIF($D$4:$D$187,D103,$C$4:$C$187)</f>
        <v/>
      </c>
      <c r="F103" s="21">
        <f>TEXT(A103,"YYYY-MM")</f>
        <v/>
      </c>
    </row>
    <row r="104">
      <c r="A104" s="17" t="n">
        <v>46335</v>
      </c>
      <c r="B104" s="21" t="inlineStr">
        <is>
          <t>一</t>
        </is>
      </c>
      <c r="C104" s="7" t="n"/>
      <c r="D104" s="19">
        <f>A104-WEEKDAY(A104,2)+1</f>
        <v/>
      </c>
      <c r="E104" s="20">
        <f>SUMIF($D$4:$D$187,D104,$C$4:$C$187)</f>
        <v/>
      </c>
      <c r="F104" s="21">
        <f>TEXT(A104,"YYYY-MM")</f>
        <v/>
      </c>
    </row>
    <row r="105">
      <c r="A105" s="17" t="n">
        <v>46336</v>
      </c>
      <c r="B105" s="21" t="inlineStr">
        <is>
          <t>二</t>
        </is>
      </c>
      <c r="C105" s="7" t="n"/>
      <c r="D105" s="19">
        <f>A105-WEEKDAY(A105,2)+1</f>
        <v/>
      </c>
      <c r="E105" s="20">
        <f>SUMIF($D$4:$D$187,D105,$C$4:$C$187)</f>
        <v/>
      </c>
      <c r="F105" s="21">
        <f>TEXT(A105,"YYYY-MM")</f>
        <v/>
      </c>
    </row>
    <row r="106">
      <c r="A106" s="17" t="n">
        <v>46337</v>
      </c>
      <c r="B106" s="21" t="inlineStr">
        <is>
          <t>三</t>
        </is>
      </c>
      <c r="C106" s="7" t="n"/>
      <c r="D106" s="19">
        <f>A106-WEEKDAY(A106,2)+1</f>
        <v/>
      </c>
      <c r="E106" s="20">
        <f>SUMIF($D$4:$D$187,D106,$C$4:$C$187)</f>
        <v/>
      </c>
      <c r="F106" s="21">
        <f>TEXT(A106,"YYYY-MM")</f>
        <v/>
      </c>
    </row>
    <row r="107">
      <c r="A107" s="17" t="n">
        <v>46338</v>
      </c>
      <c r="B107" s="21" t="inlineStr">
        <is>
          <t>四</t>
        </is>
      </c>
      <c r="C107" s="7" t="n"/>
      <c r="D107" s="19">
        <f>A107-WEEKDAY(A107,2)+1</f>
        <v/>
      </c>
      <c r="E107" s="20">
        <f>SUMIF($D$4:$D$187,D107,$C$4:$C$187)</f>
        <v/>
      </c>
      <c r="F107" s="21">
        <f>TEXT(A107,"YYYY-MM")</f>
        <v/>
      </c>
    </row>
    <row r="108">
      <c r="A108" s="17" t="n">
        <v>46339</v>
      </c>
      <c r="B108" s="21" t="inlineStr">
        <is>
          <t>五</t>
        </is>
      </c>
      <c r="C108" s="7" t="n"/>
      <c r="D108" s="19">
        <f>A108-WEEKDAY(A108,2)+1</f>
        <v/>
      </c>
      <c r="E108" s="20">
        <f>SUMIF($D$4:$D$187,D108,$C$4:$C$187)</f>
        <v/>
      </c>
      <c r="F108" s="21">
        <f>TEXT(A108,"YYYY-MM")</f>
        <v/>
      </c>
    </row>
    <row r="109">
      <c r="A109" s="17" t="n">
        <v>46340</v>
      </c>
      <c r="B109" s="18" t="inlineStr">
        <is>
          <t>六</t>
        </is>
      </c>
      <c r="C109" s="7" t="n"/>
      <c r="D109" s="19">
        <f>A109-WEEKDAY(A109,2)+1</f>
        <v/>
      </c>
      <c r="E109" s="20">
        <f>SUMIF($D$4:$D$187,D109,$C$4:$C$187)</f>
        <v/>
      </c>
      <c r="F109" s="21">
        <f>TEXT(A109,"YYYY-MM")</f>
        <v/>
      </c>
    </row>
    <row r="110">
      <c r="A110" s="17" t="n">
        <v>46341</v>
      </c>
      <c r="B110" s="18" t="inlineStr">
        <is>
          <t>日</t>
        </is>
      </c>
      <c r="C110" s="7" t="n"/>
      <c r="D110" s="19">
        <f>A110-WEEKDAY(A110,2)+1</f>
        <v/>
      </c>
      <c r="E110" s="20">
        <f>SUMIF($D$4:$D$187,D110,$C$4:$C$187)</f>
        <v/>
      </c>
      <c r="F110" s="21">
        <f>TEXT(A110,"YYYY-MM")</f>
        <v/>
      </c>
    </row>
    <row r="111">
      <c r="A111" s="17" t="n">
        <v>46342</v>
      </c>
      <c r="B111" s="21" t="inlineStr">
        <is>
          <t>一</t>
        </is>
      </c>
      <c r="C111" s="7" t="n"/>
      <c r="D111" s="19">
        <f>A111-WEEKDAY(A111,2)+1</f>
        <v/>
      </c>
      <c r="E111" s="20">
        <f>SUMIF($D$4:$D$187,D111,$C$4:$C$187)</f>
        <v/>
      </c>
      <c r="F111" s="21">
        <f>TEXT(A111,"YYYY-MM")</f>
        <v/>
      </c>
    </row>
    <row r="112">
      <c r="A112" s="17" t="n">
        <v>46343</v>
      </c>
      <c r="B112" s="21" t="inlineStr">
        <is>
          <t>二</t>
        </is>
      </c>
      <c r="C112" s="7" t="n"/>
      <c r="D112" s="19">
        <f>A112-WEEKDAY(A112,2)+1</f>
        <v/>
      </c>
      <c r="E112" s="20">
        <f>SUMIF($D$4:$D$187,D112,$C$4:$C$187)</f>
        <v/>
      </c>
      <c r="F112" s="21">
        <f>TEXT(A112,"YYYY-MM")</f>
        <v/>
      </c>
    </row>
    <row r="113">
      <c r="A113" s="17" t="n">
        <v>46344</v>
      </c>
      <c r="B113" s="21" t="inlineStr">
        <is>
          <t>三</t>
        </is>
      </c>
      <c r="C113" s="7" t="n"/>
      <c r="D113" s="19">
        <f>A113-WEEKDAY(A113,2)+1</f>
        <v/>
      </c>
      <c r="E113" s="20">
        <f>SUMIF($D$4:$D$187,D113,$C$4:$C$187)</f>
        <v/>
      </c>
      <c r="F113" s="21">
        <f>TEXT(A113,"YYYY-MM")</f>
        <v/>
      </c>
    </row>
    <row r="114">
      <c r="A114" s="17" t="n">
        <v>46345</v>
      </c>
      <c r="B114" s="21" t="inlineStr">
        <is>
          <t>四</t>
        </is>
      </c>
      <c r="C114" s="7" t="n"/>
      <c r="D114" s="19">
        <f>A114-WEEKDAY(A114,2)+1</f>
        <v/>
      </c>
      <c r="E114" s="20">
        <f>SUMIF($D$4:$D$187,D114,$C$4:$C$187)</f>
        <v/>
      </c>
      <c r="F114" s="21">
        <f>TEXT(A114,"YYYY-MM")</f>
        <v/>
      </c>
    </row>
    <row r="115">
      <c r="A115" s="17" t="n">
        <v>46346</v>
      </c>
      <c r="B115" s="21" t="inlineStr">
        <is>
          <t>五</t>
        </is>
      </c>
      <c r="C115" s="7" t="n"/>
      <c r="D115" s="19">
        <f>A115-WEEKDAY(A115,2)+1</f>
        <v/>
      </c>
      <c r="E115" s="20">
        <f>SUMIF($D$4:$D$187,D115,$C$4:$C$187)</f>
        <v/>
      </c>
      <c r="F115" s="21">
        <f>TEXT(A115,"YYYY-MM")</f>
        <v/>
      </c>
    </row>
    <row r="116">
      <c r="A116" s="17" t="n">
        <v>46347</v>
      </c>
      <c r="B116" s="18" t="inlineStr">
        <is>
          <t>六</t>
        </is>
      </c>
      <c r="C116" s="7" t="n"/>
      <c r="D116" s="19">
        <f>A116-WEEKDAY(A116,2)+1</f>
        <v/>
      </c>
      <c r="E116" s="20">
        <f>SUMIF($D$4:$D$187,D116,$C$4:$C$187)</f>
        <v/>
      </c>
      <c r="F116" s="21">
        <f>TEXT(A116,"YYYY-MM")</f>
        <v/>
      </c>
    </row>
    <row r="117">
      <c r="A117" s="17" t="n">
        <v>46348</v>
      </c>
      <c r="B117" s="18" t="inlineStr">
        <is>
          <t>日</t>
        </is>
      </c>
      <c r="C117" s="7" t="n"/>
      <c r="D117" s="19">
        <f>A117-WEEKDAY(A117,2)+1</f>
        <v/>
      </c>
      <c r="E117" s="20">
        <f>SUMIF($D$4:$D$187,D117,$C$4:$C$187)</f>
        <v/>
      </c>
      <c r="F117" s="21">
        <f>TEXT(A117,"YYYY-MM")</f>
        <v/>
      </c>
    </row>
    <row r="118">
      <c r="A118" s="17" t="n">
        <v>46349</v>
      </c>
      <c r="B118" s="21" t="inlineStr">
        <is>
          <t>一</t>
        </is>
      </c>
      <c r="C118" s="7" t="n"/>
      <c r="D118" s="19">
        <f>A118-WEEKDAY(A118,2)+1</f>
        <v/>
      </c>
      <c r="E118" s="20">
        <f>SUMIF($D$4:$D$187,D118,$C$4:$C$187)</f>
        <v/>
      </c>
      <c r="F118" s="21">
        <f>TEXT(A118,"YYYY-MM")</f>
        <v/>
      </c>
    </row>
    <row r="119">
      <c r="A119" s="17" t="n">
        <v>46350</v>
      </c>
      <c r="B119" s="21" t="inlineStr">
        <is>
          <t>二</t>
        </is>
      </c>
      <c r="C119" s="7" t="n"/>
      <c r="D119" s="19">
        <f>A119-WEEKDAY(A119,2)+1</f>
        <v/>
      </c>
      <c r="E119" s="20">
        <f>SUMIF($D$4:$D$187,D119,$C$4:$C$187)</f>
        <v/>
      </c>
      <c r="F119" s="21">
        <f>TEXT(A119,"YYYY-MM")</f>
        <v/>
      </c>
    </row>
    <row r="120">
      <c r="A120" s="17" t="n">
        <v>46351</v>
      </c>
      <c r="B120" s="21" t="inlineStr">
        <is>
          <t>三</t>
        </is>
      </c>
      <c r="C120" s="7" t="n"/>
      <c r="D120" s="19">
        <f>A120-WEEKDAY(A120,2)+1</f>
        <v/>
      </c>
      <c r="E120" s="20">
        <f>SUMIF($D$4:$D$187,D120,$C$4:$C$187)</f>
        <v/>
      </c>
      <c r="F120" s="21">
        <f>TEXT(A120,"YYYY-MM")</f>
        <v/>
      </c>
    </row>
    <row r="121">
      <c r="A121" s="17" t="n">
        <v>46352</v>
      </c>
      <c r="B121" s="21" t="inlineStr">
        <is>
          <t>四</t>
        </is>
      </c>
      <c r="C121" s="7" t="n"/>
      <c r="D121" s="19">
        <f>A121-WEEKDAY(A121,2)+1</f>
        <v/>
      </c>
      <c r="E121" s="20">
        <f>SUMIF($D$4:$D$187,D121,$C$4:$C$187)</f>
        <v/>
      </c>
      <c r="F121" s="21">
        <f>TEXT(A121,"YYYY-MM")</f>
        <v/>
      </c>
    </row>
    <row r="122">
      <c r="A122" s="17" t="n">
        <v>46353</v>
      </c>
      <c r="B122" s="21" t="inlineStr">
        <is>
          <t>五</t>
        </is>
      </c>
      <c r="C122" s="7" t="n"/>
      <c r="D122" s="19">
        <f>A122-WEEKDAY(A122,2)+1</f>
        <v/>
      </c>
      <c r="E122" s="20">
        <f>SUMIF($D$4:$D$187,D122,$C$4:$C$187)</f>
        <v/>
      </c>
      <c r="F122" s="21">
        <f>TEXT(A122,"YYYY-MM")</f>
        <v/>
      </c>
    </row>
    <row r="123">
      <c r="A123" s="17" t="n">
        <v>46354</v>
      </c>
      <c r="B123" s="18" t="inlineStr">
        <is>
          <t>六</t>
        </is>
      </c>
      <c r="C123" s="7" t="n"/>
      <c r="D123" s="19">
        <f>A123-WEEKDAY(A123,2)+1</f>
        <v/>
      </c>
      <c r="E123" s="20">
        <f>SUMIF($D$4:$D$187,D123,$C$4:$C$187)</f>
        <v/>
      </c>
      <c r="F123" s="21">
        <f>TEXT(A123,"YYYY-MM")</f>
        <v/>
      </c>
    </row>
    <row r="124">
      <c r="A124" s="17" t="n">
        <v>46355</v>
      </c>
      <c r="B124" s="18" t="inlineStr">
        <is>
          <t>日</t>
        </is>
      </c>
      <c r="C124" s="7" t="n"/>
      <c r="D124" s="19">
        <f>A124-WEEKDAY(A124,2)+1</f>
        <v/>
      </c>
      <c r="E124" s="20">
        <f>SUMIF($D$4:$D$187,D124,$C$4:$C$187)</f>
        <v/>
      </c>
      <c r="F124" s="21">
        <f>TEXT(A124,"YYYY-MM")</f>
        <v/>
      </c>
    </row>
    <row r="125">
      <c r="A125" s="17" t="n">
        <v>46356</v>
      </c>
      <c r="B125" s="21" t="inlineStr">
        <is>
          <t>一</t>
        </is>
      </c>
      <c r="C125" s="7" t="n"/>
      <c r="D125" s="19">
        <f>A125-WEEKDAY(A125,2)+1</f>
        <v/>
      </c>
      <c r="E125" s="20">
        <f>SUMIF($D$4:$D$187,D125,$C$4:$C$187)</f>
        <v/>
      </c>
      <c r="F125" s="21">
        <f>TEXT(A125,"YYYY-MM")</f>
        <v/>
      </c>
    </row>
    <row r="126">
      <c r="A126" s="17" t="n">
        <v>46357</v>
      </c>
      <c r="B126" s="21" t="inlineStr">
        <is>
          <t>二</t>
        </is>
      </c>
      <c r="C126" s="7" t="n"/>
      <c r="D126" s="19">
        <f>A126-WEEKDAY(A126,2)+1</f>
        <v/>
      </c>
      <c r="E126" s="20">
        <f>SUMIF($D$4:$D$187,D126,$C$4:$C$187)</f>
        <v/>
      </c>
      <c r="F126" s="21">
        <f>TEXT(A126,"YYYY-MM")</f>
        <v/>
      </c>
    </row>
    <row r="127">
      <c r="A127" s="17" t="n">
        <v>46358</v>
      </c>
      <c r="B127" s="21" t="inlineStr">
        <is>
          <t>三</t>
        </is>
      </c>
      <c r="C127" s="7" t="n"/>
      <c r="D127" s="19">
        <f>A127-WEEKDAY(A127,2)+1</f>
        <v/>
      </c>
      <c r="E127" s="20">
        <f>SUMIF($D$4:$D$187,D127,$C$4:$C$187)</f>
        <v/>
      </c>
      <c r="F127" s="21">
        <f>TEXT(A127,"YYYY-MM")</f>
        <v/>
      </c>
    </row>
    <row r="128">
      <c r="A128" s="17" t="n">
        <v>46359</v>
      </c>
      <c r="B128" s="21" t="inlineStr">
        <is>
          <t>四</t>
        </is>
      </c>
      <c r="C128" s="7" t="n"/>
      <c r="D128" s="19">
        <f>A128-WEEKDAY(A128,2)+1</f>
        <v/>
      </c>
      <c r="E128" s="20">
        <f>SUMIF($D$4:$D$187,D128,$C$4:$C$187)</f>
        <v/>
      </c>
      <c r="F128" s="21">
        <f>TEXT(A128,"YYYY-MM")</f>
        <v/>
      </c>
    </row>
    <row r="129">
      <c r="A129" s="17" t="n">
        <v>46360</v>
      </c>
      <c r="B129" s="21" t="inlineStr">
        <is>
          <t>五</t>
        </is>
      </c>
      <c r="C129" s="7" t="n"/>
      <c r="D129" s="19">
        <f>A129-WEEKDAY(A129,2)+1</f>
        <v/>
      </c>
      <c r="E129" s="20">
        <f>SUMIF($D$4:$D$187,D129,$C$4:$C$187)</f>
        <v/>
      </c>
      <c r="F129" s="21">
        <f>TEXT(A129,"YYYY-MM")</f>
        <v/>
      </c>
    </row>
    <row r="130">
      <c r="A130" s="17" t="n">
        <v>46361</v>
      </c>
      <c r="B130" s="18" t="inlineStr">
        <is>
          <t>六</t>
        </is>
      </c>
      <c r="C130" s="7" t="n"/>
      <c r="D130" s="19">
        <f>A130-WEEKDAY(A130,2)+1</f>
        <v/>
      </c>
      <c r="E130" s="20">
        <f>SUMIF($D$4:$D$187,D130,$C$4:$C$187)</f>
        <v/>
      </c>
      <c r="F130" s="21">
        <f>TEXT(A130,"YYYY-MM")</f>
        <v/>
      </c>
    </row>
    <row r="131">
      <c r="A131" s="17" t="n">
        <v>46362</v>
      </c>
      <c r="B131" s="18" t="inlineStr">
        <is>
          <t>日</t>
        </is>
      </c>
      <c r="C131" s="7" t="n"/>
      <c r="D131" s="19">
        <f>A131-WEEKDAY(A131,2)+1</f>
        <v/>
      </c>
      <c r="E131" s="20">
        <f>SUMIF($D$4:$D$187,D131,$C$4:$C$187)</f>
        <v/>
      </c>
      <c r="F131" s="21">
        <f>TEXT(A131,"YYYY-MM")</f>
        <v/>
      </c>
    </row>
    <row r="132">
      <c r="A132" s="17" t="n">
        <v>46363</v>
      </c>
      <c r="B132" s="21" t="inlineStr">
        <is>
          <t>一</t>
        </is>
      </c>
      <c r="C132" s="7" t="n"/>
      <c r="D132" s="19">
        <f>A132-WEEKDAY(A132,2)+1</f>
        <v/>
      </c>
      <c r="E132" s="20">
        <f>SUMIF($D$4:$D$187,D132,$C$4:$C$187)</f>
        <v/>
      </c>
      <c r="F132" s="21">
        <f>TEXT(A132,"YYYY-MM")</f>
        <v/>
      </c>
    </row>
    <row r="133">
      <c r="A133" s="17" t="n">
        <v>46364</v>
      </c>
      <c r="B133" s="21" t="inlineStr">
        <is>
          <t>二</t>
        </is>
      </c>
      <c r="C133" s="7" t="n"/>
      <c r="D133" s="19">
        <f>A133-WEEKDAY(A133,2)+1</f>
        <v/>
      </c>
      <c r="E133" s="20">
        <f>SUMIF($D$4:$D$187,D133,$C$4:$C$187)</f>
        <v/>
      </c>
      <c r="F133" s="21">
        <f>TEXT(A133,"YYYY-MM")</f>
        <v/>
      </c>
    </row>
    <row r="134">
      <c r="A134" s="17" t="n">
        <v>46365</v>
      </c>
      <c r="B134" s="21" t="inlineStr">
        <is>
          <t>三</t>
        </is>
      </c>
      <c r="C134" s="7" t="n"/>
      <c r="D134" s="19">
        <f>A134-WEEKDAY(A134,2)+1</f>
        <v/>
      </c>
      <c r="E134" s="20">
        <f>SUMIF($D$4:$D$187,D134,$C$4:$C$187)</f>
        <v/>
      </c>
      <c r="F134" s="21">
        <f>TEXT(A134,"YYYY-MM")</f>
        <v/>
      </c>
    </row>
    <row r="135">
      <c r="A135" s="17" t="n">
        <v>46366</v>
      </c>
      <c r="B135" s="21" t="inlineStr">
        <is>
          <t>四</t>
        </is>
      </c>
      <c r="C135" s="7" t="n"/>
      <c r="D135" s="19">
        <f>A135-WEEKDAY(A135,2)+1</f>
        <v/>
      </c>
      <c r="E135" s="20">
        <f>SUMIF($D$4:$D$187,D135,$C$4:$C$187)</f>
        <v/>
      </c>
      <c r="F135" s="21">
        <f>TEXT(A135,"YYYY-MM")</f>
        <v/>
      </c>
    </row>
    <row r="136">
      <c r="A136" s="17" t="n">
        <v>46367</v>
      </c>
      <c r="B136" s="21" t="inlineStr">
        <is>
          <t>五</t>
        </is>
      </c>
      <c r="C136" s="7" t="n"/>
      <c r="D136" s="19">
        <f>A136-WEEKDAY(A136,2)+1</f>
        <v/>
      </c>
      <c r="E136" s="20">
        <f>SUMIF($D$4:$D$187,D136,$C$4:$C$187)</f>
        <v/>
      </c>
      <c r="F136" s="21">
        <f>TEXT(A136,"YYYY-MM")</f>
        <v/>
      </c>
    </row>
    <row r="137">
      <c r="A137" s="17" t="n">
        <v>46368</v>
      </c>
      <c r="B137" s="18" t="inlineStr">
        <is>
          <t>六</t>
        </is>
      </c>
      <c r="C137" s="7" t="n"/>
      <c r="D137" s="19">
        <f>A137-WEEKDAY(A137,2)+1</f>
        <v/>
      </c>
      <c r="E137" s="20">
        <f>SUMIF($D$4:$D$187,D137,$C$4:$C$187)</f>
        <v/>
      </c>
      <c r="F137" s="21">
        <f>TEXT(A137,"YYYY-MM")</f>
        <v/>
      </c>
    </row>
    <row r="138">
      <c r="A138" s="17" t="n">
        <v>46369</v>
      </c>
      <c r="B138" s="18" t="inlineStr">
        <is>
          <t>日</t>
        </is>
      </c>
      <c r="C138" s="7" t="n"/>
      <c r="D138" s="19">
        <f>A138-WEEKDAY(A138,2)+1</f>
        <v/>
      </c>
      <c r="E138" s="20">
        <f>SUMIF($D$4:$D$187,D138,$C$4:$C$187)</f>
        <v/>
      </c>
      <c r="F138" s="21">
        <f>TEXT(A138,"YYYY-MM")</f>
        <v/>
      </c>
    </row>
    <row r="139">
      <c r="A139" s="17" t="n">
        <v>46370</v>
      </c>
      <c r="B139" s="21" t="inlineStr">
        <is>
          <t>一</t>
        </is>
      </c>
      <c r="C139" s="7" t="n"/>
      <c r="D139" s="19">
        <f>A139-WEEKDAY(A139,2)+1</f>
        <v/>
      </c>
      <c r="E139" s="20">
        <f>SUMIF($D$4:$D$187,D139,$C$4:$C$187)</f>
        <v/>
      </c>
      <c r="F139" s="21">
        <f>TEXT(A139,"YYYY-MM")</f>
        <v/>
      </c>
    </row>
    <row r="140">
      <c r="A140" s="17" t="n">
        <v>46371</v>
      </c>
      <c r="B140" s="21" t="inlineStr">
        <is>
          <t>二</t>
        </is>
      </c>
      <c r="C140" s="7" t="n"/>
      <c r="D140" s="19">
        <f>A140-WEEKDAY(A140,2)+1</f>
        <v/>
      </c>
      <c r="E140" s="20">
        <f>SUMIF($D$4:$D$187,D140,$C$4:$C$187)</f>
        <v/>
      </c>
      <c r="F140" s="21">
        <f>TEXT(A140,"YYYY-MM")</f>
        <v/>
      </c>
    </row>
    <row r="141">
      <c r="A141" s="17" t="n">
        <v>46372</v>
      </c>
      <c r="B141" s="21" t="inlineStr">
        <is>
          <t>三</t>
        </is>
      </c>
      <c r="C141" s="7" t="n"/>
      <c r="D141" s="19">
        <f>A141-WEEKDAY(A141,2)+1</f>
        <v/>
      </c>
      <c r="E141" s="20">
        <f>SUMIF($D$4:$D$187,D141,$C$4:$C$187)</f>
        <v/>
      </c>
      <c r="F141" s="21">
        <f>TEXT(A141,"YYYY-MM")</f>
        <v/>
      </c>
    </row>
    <row r="142">
      <c r="A142" s="17" t="n">
        <v>46373</v>
      </c>
      <c r="B142" s="21" t="inlineStr">
        <is>
          <t>四</t>
        </is>
      </c>
      <c r="C142" s="7" t="n"/>
      <c r="D142" s="19">
        <f>A142-WEEKDAY(A142,2)+1</f>
        <v/>
      </c>
      <c r="E142" s="20">
        <f>SUMIF($D$4:$D$187,D142,$C$4:$C$187)</f>
        <v/>
      </c>
      <c r="F142" s="21">
        <f>TEXT(A142,"YYYY-MM")</f>
        <v/>
      </c>
    </row>
    <row r="143">
      <c r="A143" s="17" t="n">
        <v>46374</v>
      </c>
      <c r="B143" s="21" t="inlineStr">
        <is>
          <t>五</t>
        </is>
      </c>
      <c r="C143" s="7" t="n"/>
      <c r="D143" s="19">
        <f>A143-WEEKDAY(A143,2)+1</f>
        <v/>
      </c>
      <c r="E143" s="20">
        <f>SUMIF($D$4:$D$187,D143,$C$4:$C$187)</f>
        <v/>
      </c>
      <c r="F143" s="21">
        <f>TEXT(A143,"YYYY-MM")</f>
        <v/>
      </c>
    </row>
    <row r="144">
      <c r="A144" s="17" t="n">
        <v>46375</v>
      </c>
      <c r="B144" s="18" t="inlineStr">
        <is>
          <t>六</t>
        </is>
      </c>
      <c r="C144" s="7" t="n"/>
      <c r="D144" s="19">
        <f>A144-WEEKDAY(A144,2)+1</f>
        <v/>
      </c>
      <c r="E144" s="20">
        <f>SUMIF($D$4:$D$187,D144,$C$4:$C$187)</f>
        <v/>
      </c>
      <c r="F144" s="21">
        <f>TEXT(A144,"YYYY-MM")</f>
        <v/>
      </c>
    </row>
    <row r="145">
      <c r="A145" s="17" t="n">
        <v>46376</v>
      </c>
      <c r="B145" s="18" t="inlineStr">
        <is>
          <t>日</t>
        </is>
      </c>
      <c r="C145" s="7" t="n"/>
      <c r="D145" s="19">
        <f>A145-WEEKDAY(A145,2)+1</f>
        <v/>
      </c>
      <c r="E145" s="20">
        <f>SUMIF($D$4:$D$187,D145,$C$4:$C$187)</f>
        <v/>
      </c>
      <c r="F145" s="21">
        <f>TEXT(A145,"YYYY-MM")</f>
        <v/>
      </c>
    </row>
    <row r="146">
      <c r="A146" s="17" t="n">
        <v>46377</v>
      </c>
      <c r="B146" s="21" t="inlineStr">
        <is>
          <t>一</t>
        </is>
      </c>
      <c r="C146" s="7" t="n"/>
      <c r="D146" s="19">
        <f>A146-WEEKDAY(A146,2)+1</f>
        <v/>
      </c>
      <c r="E146" s="20">
        <f>SUMIF($D$4:$D$187,D146,$C$4:$C$187)</f>
        <v/>
      </c>
      <c r="F146" s="21">
        <f>TEXT(A146,"YYYY-MM")</f>
        <v/>
      </c>
    </row>
    <row r="147">
      <c r="A147" s="17" t="n">
        <v>46378</v>
      </c>
      <c r="B147" s="21" t="inlineStr">
        <is>
          <t>二</t>
        </is>
      </c>
      <c r="C147" s="7" t="n"/>
      <c r="D147" s="19">
        <f>A147-WEEKDAY(A147,2)+1</f>
        <v/>
      </c>
      <c r="E147" s="20">
        <f>SUMIF($D$4:$D$187,D147,$C$4:$C$187)</f>
        <v/>
      </c>
      <c r="F147" s="21">
        <f>TEXT(A147,"YYYY-MM")</f>
        <v/>
      </c>
    </row>
    <row r="148">
      <c r="A148" s="17" t="n">
        <v>46379</v>
      </c>
      <c r="B148" s="21" t="inlineStr">
        <is>
          <t>三</t>
        </is>
      </c>
      <c r="C148" s="7" t="n"/>
      <c r="D148" s="19">
        <f>A148-WEEKDAY(A148,2)+1</f>
        <v/>
      </c>
      <c r="E148" s="20">
        <f>SUMIF($D$4:$D$187,D148,$C$4:$C$187)</f>
        <v/>
      </c>
      <c r="F148" s="21">
        <f>TEXT(A148,"YYYY-MM")</f>
        <v/>
      </c>
    </row>
    <row r="149">
      <c r="A149" s="17" t="n">
        <v>46380</v>
      </c>
      <c r="B149" s="21" t="inlineStr">
        <is>
          <t>四</t>
        </is>
      </c>
      <c r="C149" s="7" t="n"/>
      <c r="D149" s="19">
        <f>A149-WEEKDAY(A149,2)+1</f>
        <v/>
      </c>
      <c r="E149" s="20">
        <f>SUMIF($D$4:$D$187,D149,$C$4:$C$187)</f>
        <v/>
      </c>
      <c r="F149" s="21">
        <f>TEXT(A149,"YYYY-MM")</f>
        <v/>
      </c>
    </row>
    <row r="150">
      <c r="A150" s="17" t="n">
        <v>46381</v>
      </c>
      <c r="B150" s="21" t="inlineStr">
        <is>
          <t>五</t>
        </is>
      </c>
      <c r="C150" s="7" t="n"/>
      <c r="D150" s="19">
        <f>A150-WEEKDAY(A150,2)+1</f>
        <v/>
      </c>
      <c r="E150" s="20">
        <f>SUMIF($D$4:$D$187,D150,$C$4:$C$187)</f>
        <v/>
      </c>
      <c r="F150" s="21">
        <f>TEXT(A150,"YYYY-MM")</f>
        <v/>
      </c>
    </row>
    <row r="151">
      <c r="A151" s="17" t="n">
        <v>46382</v>
      </c>
      <c r="B151" s="18" t="inlineStr">
        <is>
          <t>六</t>
        </is>
      </c>
      <c r="C151" s="7" t="n"/>
      <c r="D151" s="19">
        <f>A151-WEEKDAY(A151,2)+1</f>
        <v/>
      </c>
      <c r="E151" s="20">
        <f>SUMIF($D$4:$D$187,D151,$C$4:$C$187)</f>
        <v/>
      </c>
      <c r="F151" s="21">
        <f>TEXT(A151,"YYYY-MM")</f>
        <v/>
      </c>
    </row>
    <row r="152">
      <c r="A152" s="17" t="n">
        <v>46383</v>
      </c>
      <c r="B152" s="18" t="inlineStr">
        <is>
          <t>日</t>
        </is>
      </c>
      <c r="C152" s="7" t="n"/>
      <c r="D152" s="19">
        <f>A152-WEEKDAY(A152,2)+1</f>
        <v/>
      </c>
      <c r="E152" s="20">
        <f>SUMIF($D$4:$D$187,D152,$C$4:$C$187)</f>
        <v/>
      </c>
      <c r="F152" s="21">
        <f>TEXT(A152,"YYYY-MM")</f>
        <v/>
      </c>
    </row>
    <row r="153">
      <c r="A153" s="17" t="n">
        <v>46384</v>
      </c>
      <c r="B153" s="21" t="inlineStr">
        <is>
          <t>一</t>
        </is>
      </c>
      <c r="C153" s="7" t="n"/>
      <c r="D153" s="19">
        <f>A153-WEEKDAY(A153,2)+1</f>
        <v/>
      </c>
      <c r="E153" s="20">
        <f>SUMIF($D$4:$D$187,D153,$C$4:$C$187)</f>
        <v/>
      </c>
      <c r="F153" s="21">
        <f>TEXT(A153,"YYYY-MM")</f>
        <v/>
      </c>
    </row>
    <row r="154">
      <c r="A154" s="17" t="n">
        <v>46385</v>
      </c>
      <c r="B154" s="21" t="inlineStr">
        <is>
          <t>二</t>
        </is>
      </c>
      <c r="C154" s="7" t="n"/>
      <c r="D154" s="19">
        <f>A154-WEEKDAY(A154,2)+1</f>
        <v/>
      </c>
      <c r="E154" s="20">
        <f>SUMIF($D$4:$D$187,D154,$C$4:$C$187)</f>
        <v/>
      </c>
      <c r="F154" s="21">
        <f>TEXT(A154,"YYYY-MM")</f>
        <v/>
      </c>
    </row>
    <row r="155">
      <c r="A155" s="17" t="n">
        <v>46386</v>
      </c>
      <c r="B155" s="21" t="inlineStr">
        <is>
          <t>三</t>
        </is>
      </c>
      <c r="C155" s="7" t="n"/>
      <c r="D155" s="19">
        <f>A155-WEEKDAY(A155,2)+1</f>
        <v/>
      </c>
      <c r="E155" s="20">
        <f>SUMIF($D$4:$D$187,D155,$C$4:$C$187)</f>
        <v/>
      </c>
      <c r="F155" s="21">
        <f>TEXT(A155,"YYYY-MM")</f>
        <v/>
      </c>
    </row>
    <row r="156">
      <c r="A156" s="17" t="n">
        <v>46387</v>
      </c>
      <c r="B156" s="21" t="inlineStr">
        <is>
          <t>四</t>
        </is>
      </c>
      <c r="C156" s="7" t="n"/>
      <c r="D156" s="19">
        <f>A156-WEEKDAY(A156,2)+1</f>
        <v/>
      </c>
      <c r="E156" s="20">
        <f>SUMIF($D$4:$D$187,D156,$C$4:$C$187)</f>
        <v/>
      </c>
      <c r="F156" s="21">
        <f>TEXT(A156,"YYYY-MM")</f>
        <v/>
      </c>
    </row>
    <row r="157">
      <c r="A157" s="17" t="n">
        <v>46388</v>
      </c>
      <c r="B157" s="21" t="inlineStr">
        <is>
          <t>五</t>
        </is>
      </c>
      <c r="C157" s="7" t="n"/>
      <c r="D157" s="19">
        <f>A157-WEEKDAY(A157,2)+1</f>
        <v/>
      </c>
      <c r="E157" s="20">
        <f>SUMIF($D$4:$D$187,D157,$C$4:$C$187)</f>
        <v/>
      </c>
      <c r="F157" s="21">
        <f>TEXT(A157,"YYYY-MM")</f>
        <v/>
      </c>
    </row>
    <row r="158">
      <c r="A158" s="17" t="n">
        <v>46389</v>
      </c>
      <c r="B158" s="18" t="inlineStr">
        <is>
          <t>六</t>
        </is>
      </c>
      <c r="C158" s="7" t="n"/>
      <c r="D158" s="19">
        <f>A158-WEEKDAY(A158,2)+1</f>
        <v/>
      </c>
      <c r="E158" s="20">
        <f>SUMIF($D$4:$D$187,D158,$C$4:$C$187)</f>
        <v/>
      </c>
      <c r="F158" s="21">
        <f>TEXT(A158,"YYYY-MM")</f>
        <v/>
      </c>
    </row>
    <row r="159">
      <c r="A159" s="17" t="n">
        <v>46390</v>
      </c>
      <c r="B159" s="18" t="inlineStr">
        <is>
          <t>日</t>
        </is>
      </c>
      <c r="C159" s="7" t="n"/>
      <c r="D159" s="19">
        <f>A159-WEEKDAY(A159,2)+1</f>
        <v/>
      </c>
      <c r="E159" s="20">
        <f>SUMIF($D$4:$D$187,D159,$C$4:$C$187)</f>
        <v/>
      </c>
      <c r="F159" s="21">
        <f>TEXT(A159,"YYYY-MM")</f>
        <v/>
      </c>
    </row>
    <row r="160">
      <c r="A160" s="17" t="n">
        <v>46391</v>
      </c>
      <c r="B160" s="21" t="inlineStr">
        <is>
          <t>一</t>
        </is>
      </c>
      <c r="C160" s="7" t="n"/>
      <c r="D160" s="19">
        <f>A160-WEEKDAY(A160,2)+1</f>
        <v/>
      </c>
      <c r="E160" s="20">
        <f>SUMIF($D$4:$D$187,D160,$C$4:$C$187)</f>
        <v/>
      </c>
      <c r="F160" s="21">
        <f>TEXT(A160,"YYYY-MM")</f>
        <v/>
      </c>
    </row>
    <row r="161">
      <c r="A161" s="17" t="n">
        <v>46392</v>
      </c>
      <c r="B161" s="21" t="inlineStr">
        <is>
          <t>二</t>
        </is>
      </c>
      <c r="C161" s="7" t="n"/>
      <c r="D161" s="19">
        <f>A161-WEEKDAY(A161,2)+1</f>
        <v/>
      </c>
      <c r="E161" s="20">
        <f>SUMIF($D$4:$D$187,D161,$C$4:$C$187)</f>
        <v/>
      </c>
      <c r="F161" s="21">
        <f>TEXT(A161,"YYYY-MM")</f>
        <v/>
      </c>
    </row>
    <row r="162">
      <c r="A162" s="17" t="n">
        <v>46393</v>
      </c>
      <c r="B162" s="21" t="inlineStr">
        <is>
          <t>三</t>
        </is>
      </c>
      <c r="C162" s="7" t="n"/>
      <c r="D162" s="19">
        <f>A162-WEEKDAY(A162,2)+1</f>
        <v/>
      </c>
      <c r="E162" s="20">
        <f>SUMIF($D$4:$D$187,D162,$C$4:$C$187)</f>
        <v/>
      </c>
      <c r="F162" s="21">
        <f>TEXT(A162,"YYYY-MM")</f>
        <v/>
      </c>
    </row>
    <row r="163">
      <c r="A163" s="17" t="n">
        <v>46394</v>
      </c>
      <c r="B163" s="21" t="inlineStr">
        <is>
          <t>四</t>
        </is>
      </c>
      <c r="C163" s="7" t="n"/>
      <c r="D163" s="19">
        <f>A163-WEEKDAY(A163,2)+1</f>
        <v/>
      </c>
      <c r="E163" s="20">
        <f>SUMIF($D$4:$D$187,D163,$C$4:$C$187)</f>
        <v/>
      </c>
      <c r="F163" s="21">
        <f>TEXT(A163,"YYYY-MM")</f>
        <v/>
      </c>
    </row>
    <row r="164">
      <c r="A164" s="17" t="n">
        <v>46395</v>
      </c>
      <c r="B164" s="21" t="inlineStr">
        <is>
          <t>五</t>
        </is>
      </c>
      <c r="C164" s="7" t="n"/>
      <c r="D164" s="19">
        <f>A164-WEEKDAY(A164,2)+1</f>
        <v/>
      </c>
      <c r="E164" s="20">
        <f>SUMIF($D$4:$D$187,D164,$C$4:$C$187)</f>
        <v/>
      </c>
      <c r="F164" s="21">
        <f>TEXT(A164,"YYYY-MM")</f>
        <v/>
      </c>
    </row>
    <row r="165">
      <c r="A165" s="17" t="n">
        <v>46396</v>
      </c>
      <c r="B165" s="18" t="inlineStr">
        <is>
          <t>六</t>
        </is>
      </c>
      <c r="C165" s="7" t="n"/>
      <c r="D165" s="19">
        <f>A165-WEEKDAY(A165,2)+1</f>
        <v/>
      </c>
      <c r="E165" s="20">
        <f>SUMIF($D$4:$D$187,D165,$C$4:$C$187)</f>
        <v/>
      </c>
      <c r="F165" s="21">
        <f>TEXT(A165,"YYYY-MM")</f>
        <v/>
      </c>
    </row>
    <row r="166">
      <c r="A166" s="17" t="n">
        <v>46397</v>
      </c>
      <c r="B166" s="18" t="inlineStr">
        <is>
          <t>日</t>
        </is>
      </c>
      <c r="C166" s="7" t="n"/>
      <c r="D166" s="19">
        <f>A166-WEEKDAY(A166,2)+1</f>
        <v/>
      </c>
      <c r="E166" s="20">
        <f>SUMIF($D$4:$D$187,D166,$C$4:$C$187)</f>
        <v/>
      </c>
      <c r="F166" s="21">
        <f>TEXT(A166,"YYYY-MM")</f>
        <v/>
      </c>
    </row>
    <row r="167">
      <c r="A167" s="17" t="n">
        <v>46398</v>
      </c>
      <c r="B167" s="21" t="inlineStr">
        <is>
          <t>一</t>
        </is>
      </c>
      <c r="C167" s="7" t="n"/>
      <c r="D167" s="19">
        <f>A167-WEEKDAY(A167,2)+1</f>
        <v/>
      </c>
      <c r="E167" s="20">
        <f>SUMIF($D$4:$D$187,D167,$C$4:$C$187)</f>
        <v/>
      </c>
      <c r="F167" s="21">
        <f>TEXT(A167,"YYYY-MM")</f>
        <v/>
      </c>
    </row>
    <row r="168">
      <c r="A168" s="17" t="n">
        <v>46399</v>
      </c>
      <c r="B168" s="21" t="inlineStr">
        <is>
          <t>二</t>
        </is>
      </c>
      <c r="C168" s="7" t="n"/>
      <c r="D168" s="19">
        <f>A168-WEEKDAY(A168,2)+1</f>
        <v/>
      </c>
      <c r="E168" s="20">
        <f>SUMIF($D$4:$D$187,D168,$C$4:$C$187)</f>
        <v/>
      </c>
      <c r="F168" s="21">
        <f>TEXT(A168,"YYYY-MM")</f>
        <v/>
      </c>
    </row>
    <row r="169">
      <c r="A169" s="17" t="n">
        <v>46400</v>
      </c>
      <c r="B169" s="21" t="inlineStr">
        <is>
          <t>三</t>
        </is>
      </c>
      <c r="C169" s="7" t="n"/>
      <c r="D169" s="19">
        <f>A169-WEEKDAY(A169,2)+1</f>
        <v/>
      </c>
      <c r="E169" s="20">
        <f>SUMIF($D$4:$D$187,D169,$C$4:$C$187)</f>
        <v/>
      </c>
      <c r="F169" s="21">
        <f>TEXT(A169,"YYYY-MM")</f>
        <v/>
      </c>
    </row>
    <row r="170">
      <c r="A170" s="17" t="n">
        <v>46401</v>
      </c>
      <c r="B170" s="21" t="inlineStr">
        <is>
          <t>四</t>
        </is>
      </c>
      <c r="C170" s="7" t="n"/>
      <c r="D170" s="19">
        <f>A170-WEEKDAY(A170,2)+1</f>
        <v/>
      </c>
      <c r="E170" s="20">
        <f>SUMIF($D$4:$D$187,D170,$C$4:$C$187)</f>
        <v/>
      </c>
      <c r="F170" s="21">
        <f>TEXT(A170,"YYYY-MM")</f>
        <v/>
      </c>
    </row>
    <row r="171">
      <c r="A171" s="17" t="n">
        <v>46402</v>
      </c>
      <c r="B171" s="21" t="inlineStr">
        <is>
          <t>五</t>
        </is>
      </c>
      <c r="C171" s="7" t="n"/>
      <c r="D171" s="19">
        <f>A171-WEEKDAY(A171,2)+1</f>
        <v/>
      </c>
      <c r="E171" s="20">
        <f>SUMIF($D$4:$D$187,D171,$C$4:$C$187)</f>
        <v/>
      </c>
      <c r="F171" s="21">
        <f>TEXT(A171,"YYYY-MM")</f>
        <v/>
      </c>
    </row>
    <row r="172">
      <c r="A172" s="17" t="n">
        <v>46403</v>
      </c>
      <c r="B172" s="18" t="inlineStr">
        <is>
          <t>六</t>
        </is>
      </c>
      <c r="C172" s="7" t="n"/>
      <c r="D172" s="19">
        <f>A172-WEEKDAY(A172,2)+1</f>
        <v/>
      </c>
      <c r="E172" s="20">
        <f>SUMIF($D$4:$D$187,D172,$C$4:$C$187)</f>
        <v/>
      </c>
      <c r="F172" s="21">
        <f>TEXT(A172,"YYYY-MM")</f>
        <v/>
      </c>
    </row>
    <row r="173">
      <c r="A173" s="17" t="n">
        <v>46404</v>
      </c>
      <c r="B173" s="18" t="inlineStr">
        <is>
          <t>日</t>
        </is>
      </c>
      <c r="C173" s="7" t="n"/>
      <c r="D173" s="19">
        <f>A173-WEEKDAY(A173,2)+1</f>
        <v/>
      </c>
      <c r="E173" s="20">
        <f>SUMIF($D$4:$D$187,D173,$C$4:$C$187)</f>
        <v/>
      </c>
      <c r="F173" s="21">
        <f>TEXT(A173,"YYYY-MM")</f>
        <v/>
      </c>
    </row>
    <row r="174">
      <c r="A174" s="17" t="n">
        <v>46405</v>
      </c>
      <c r="B174" s="21" t="inlineStr">
        <is>
          <t>一</t>
        </is>
      </c>
      <c r="C174" s="7" t="n"/>
      <c r="D174" s="19">
        <f>A174-WEEKDAY(A174,2)+1</f>
        <v/>
      </c>
      <c r="E174" s="20">
        <f>SUMIF($D$4:$D$187,D174,$C$4:$C$187)</f>
        <v/>
      </c>
      <c r="F174" s="21">
        <f>TEXT(A174,"YYYY-MM")</f>
        <v/>
      </c>
    </row>
    <row r="175">
      <c r="A175" s="17" t="n">
        <v>46406</v>
      </c>
      <c r="B175" s="21" t="inlineStr">
        <is>
          <t>二</t>
        </is>
      </c>
      <c r="C175" s="7" t="n"/>
      <c r="D175" s="19">
        <f>A175-WEEKDAY(A175,2)+1</f>
        <v/>
      </c>
      <c r="E175" s="20">
        <f>SUMIF($D$4:$D$187,D175,$C$4:$C$187)</f>
        <v/>
      </c>
      <c r="F175" s="21">
        <f>TEXT(A175,"YYYY-MM")</f>
        <v/>
      </c>
    </row>
    <row r="176">
      <c r="A176" s="17" t="n">
        <v>46407</v>
      </c>
      <c r="B176" s="21" t="inlineStr">
        <is>
          <t>三</t>
        </is>
      </c>
      <c r="C176" s="7" t="n"/>
      <c r="D176" s="19">
        <f>A176-WEEKDAY(A176,2)+1</f>
        <v/>
      </c>
      <c r="E176" s="20">
        <f>SUMIF($D$4:$D$187,D176,$C$4:$C$187)</f>
        <v/>
      </c>
      <c r="F176" s="21">
        <f>TEXT(A176,"YYYY-MM")</f>
        <v/>
      </c>
    </row>
    <row r="177">
      <c r="A177" s="17" t="n">
        <v>46408</v>
      </c>
      <c r="B177" s="21" t="inlineStr">
        <is>
          <t>四</t>
        </is>
      </c>
      <c r="C177" s="7" t="n"/>
      <c r="D177" s="19">
        <f>A177-WEEKDAY(A177,2)+1</f>
        <v/>
      </c>
      <c r="E177" s="20">
        <f>SUMIF($D$4:$D$187,D177,$C$4:$C$187)</f>
        <v/>
      </c>
      <c r="F177" s="21">
        <f>TEXT(A177,"YYYY-MM")</f>
        <v/>
      </c>
    </row>
    <row r="178">
      <c r="A178" s="17" t="n">
        <v>46409</v>
      </c>
      <c r="B178" s="21" t="inlineStr">
        <is>
          <t>五</t>
        </is>
      </c>
      <c r="C178" s="7" t="n"/>
      <c r="D178" s="19">
        <f>A178-WEEKDAY(A178,2)+1</f>
        <v/>
      </c>
      <c r="E178" s="20">
        <f>SUMIF($D$4:$D$187,D178,$C$4:$C$187)</f>
        <v/>
      </c>
      <c r="F178" s="21">
        <f>TEXT(A178,"YYYY-MM")</f>
        <v/>
      </c>
    </row>
    <row r="179">
      <c r="A179" s="17" t="n">
        <v>46410</v>
      </c>
      <c r="B179" s="18" t="inlineStr">
        <is>
          <t>六</t>
        </is>
      </c>
      <c r="C179" s="7" t="n"/>
      <c r="D179" s="19">
        <f>A179-WEEKDAY(A179,2)+1</f>
        <v/>
      </c>
      <c r="E179" s="20">
        <f>SUMIF($D$4:$D$187,D179,$C$4:$C$187)</f>
        <v/>
      </c>
      <c r="F179" s="21">
        <f>TEXT(A179,"YYYY-MM")</f>
        <v/>
      </c>
    </row>
    <row r="180">
      <c r="A180" s="17" t="n">
        <v>46411</v>
      </c>
      <c r="B180" s="18" t="inlineStr">
        <is>
          <t>日</t>
        </is>
      </c>
      <c r="C180" s="7" t="n"/>
      <c r="D180" s="19">
        <f>A180-WEEKDAY(A180,2)+1</f>
        <v/>
      </c>
      <c r="E180" s="20">
        <f>SUMIF($D$4:$D$187,D180,$C$4:$C$187)</f>
        <v/>
      </c>
      <c r="F180" s="21">
        <f>TEXT(A180,"YYYY-MM")</f>
        <v/>
      </c>
    </row>
    <row r="181">
      <c r="A181" s="17" t="n">
        <v>46412</v>
      </c>
      <c r="B181" s="21" t="inlineStr">
        <is>
          <t>一</t>
        </is>
      </c>
      <c r="C181" s="7" t="n"/>
      <c r="D181" s="19">
        <f>A181-WEEKDAY(A181,2)+1</f>
        <v/>
      </c>
      <c r="E181" s="20">
        <f>SUMIF($D$4:$D$187,D181,$C$4:$C$187)</f>
        <v/>
      </c>
      <c r="F181" s="21">
        <f>TEXT(A181,"YYYY-MM")</f>
        <v/>
      </c>
    </row>
    <row r="182">
      <c r="A182" s="17" t="n">
        <v>46413</v>
      </c>
      <c r="B182" s="21" t="inlineStr">
        <is>
          <t>二</t>
        </is>
      </c>
      <c r="C182" s="7" t="n"/>
      <c r="D182" s="19">
        <f>A182-WEEKDAY(A182,2)+1</f>
        <v/>
      </c>
      <c r="E182" s="20">
        <f>SUMIF($D$4:$D$187,D182,$C$4:$C$187)</f>
        <v/>
      </c>
      <c r="F182" s="21">
        <f>TEXT(A182,"YYYY-MM")</f>
        <v/>
      </c>
    </row>
    <row r="183">
      <c r="A183" s="17" t="n">
        <v>46414</v>
      </c>
      <c r="B183" s="21" t="inlineStr">
        <is>
          <t>三</t>
        </is>
      </c>
      <c r="C183" s="7" t="n"/>
      <c r="D183" s="19">
        <f>A183-WEEKDAY(A183,2)+1</f>
        <v/>
      </c>
      <c r="E183" s="20">
        <f>SUMIF($D$4:$D$187,D183,$C$4:$C$187)</f>
        <v/>
      </c>
      <c r="F183" s="21">
        <f>TEXT(A183,"YYYY-MM")</f>
        <v/>
      </c>
    </row>
    <row r="184">
      <c r="A184" s="17" t="n">
        <v>46415</v>
      </c>
      <c r="B184" s="21" t="inlineStr">
        <is>
          <t>四</t>
        </is>
      </c>
      <c r="C184" s="7" t="n"/>
      <c r="D184" s="19">
        <f>A184-WEEKDAY(A184,2)+1</f>
        <v/>
      </c>
      <c r="E184" s="20">
        <f>SUMIF($D$4:$D$187,D184,$C$4:$C$187)</f>
        <v/>
      </c>
      <c r="F184" s="21">
        <f>TEXT(A184,"YYYY-MM")</f>
        <v/>
      </c>
    </row>
    <row r="185">
      <c r="A185" s="17" t="n">
        <v>46416</v>
      </c>
      <c r="B185" s="21" t="inlineStr">
        <is>
          <t>五</t>
        </is>
      </c>
      <c r="C185" s="7" t="n"/>
      <c r="D185" s="19">
        <f>A185-WEEKDAY(A185,2)+1</f>
        <v/>
      </c>
      <c r="E185" s="20">
        <f>SUMIF($D$4:$D$187,D185,$C$4:$C$187)</f>
        <v/>
      </c>
      <c r="F185" s="21">
        <f>TEXT(A185,"YYYY-MM")</f>
        <v/>
      </c>
    </row>
    <row r="186">
      <c r="A186" s="17" t="n">
        <v>46417</v>
      </c>
      <c r="B186" s="18" t="inlineStr">
        <is>
          <t>六</t>
        </is>
      </c>
      <c r="C186" s="7" t="n"/>
      <c r="D186" s="19">
        <f>A186-WEEKDAY(A186,2)+1</f>
        <v/>
      </c>
      <c r="E186" s="20">
        <f>SUMIF($D$4:$D$187,D186,$C$4:$C$187)</f>
        <v/>
      </c>
      <c r="F186" s="21">
        <f>TEXT(A186,"YYYY-MM")</f>
        <v/>
      </c>
    </row>
    <row r="187">
      <c r="A187" s="17" t="n">
        <v>46418</v>
      </c>
      <c r="B187" s="18" t="inlineStr">
        <is>
          <t>日</t>
        </is>
      </c>
      <c r="C187" s="7" t="n"/>
      <c r="D187" s="19">
        <f>A187-WEEKDAY(A187,2)+1</f>
        <v/>
      </c>
      <c r="E187" s="20">
        <f>SUMIF($D$4:$D$187,D187,$C$4:$C$187)</f>
        <v/>
      </c>
      <c r="F187" s="21">
        <f>TEXT(A187,"YYYY-MM")</f>
        <v/>
      </c>
    </row>
    <row r="189">
      <c r="A189" s="22" t="inlineStr">
        <is>
          <t>按月合计 (02_daily)</t>
        </is>
      </c>
    </row>
    <row r="190">
      <c r="A190" t="inlineStr">
        <is>
          <t>2026-08</t>
        </is>
      </c>
      <c r="B190" s="8">
        <f>SUMIF($F$4:$F$187,A190,$C$4:$C$187)</f>
        <v/>
      </c>
      <c r="C190" t="inlineStr">
        <is>
          <t>01_volume 月计</t>
        </is>
      </c>
      <c r="D190" s="8">
        <f>VLOOKUP(A190,'01_volume'!A4:E9,5,FALSE)</f>
        <v/>
      </c>
      <c r="E190" t="inlineStr">
        <is>
          <t>差额</t>
        </is>
      </c>
      <c r="F190" s="12">
        <f>IF(B190=0,"(未按日填写)",B190-D190)</f>
        <v/>
      </c>
    </row>
    <row r="191">
      <c r="A191" t="inlineStr">
        <is>
          <t>2026-09</t>
        </is>
      </c>
      <c r="B191" s="8">
        <f>SUMIF($F$4:$F$187,A191,$C$4:$C$187)</f>
        <v/>
      </c>
      <c r="C191" t="inlineStr">
        <is>
          <t>01_volume 月计</t>
        </is>
      </c>
      <c r="D191" s="8">
        <f>VLOOKUP(A191,'01_volume'!A4:E9,5,FALSE)</f>
        <v/>
      </c>
      <c r="E191" t="inlineStr">
        <is>
          <t>差额</t>
        </is>
      </c>
      <c r="F191" s="12">
        <f>IF(B191=0,"(未按日填写)",B191-D191)</f>
        <v/>
      </c>
    </row>
    <row r="192">
      <c r="A192" t="inlineStr">
        <is>
          <t>2026-10</t>
        </is>
      </c>
      <c r="B192" s="8">
        <f>SUMIF($F$4:$F$187,A192,$C$4:$C$187)</f>
        <v/>
      </c>
      <c r="C192" t="inlineStr">
        <is>
          <t>01_volume 月计</t>
        </is>
      </c>
      <c r="D192" s="8">
        <f>VLOOKUP(A192,'01_volume'!A4:E9,5,FALSE)</f>
        <v/>
      </c>
      <c r="E192" t="inlineStr">
        <is>
          <t>差额</t>
        </is>
      </c>
      <c r="F192" s="12">
        <f>IF(B192=0,"(未按日填写)",B192-D192)</f>
        <v/>
      </c>
    </row>
    <row r="193">
      <c r="A193" t="inlineStr">
        <is>
          <t>2026-11</t>
        </is>
      </c>
      <c r="B193" s="8">
        <f>SUMIF($F$4:$F$187,A193,$C$4:$C$187)</f>
        <v/>
      </c>
      <c r="C193" t="inlineStr">
        <is>
          <t>01_volume 月计</t>
        </is>
      </c>
      <c r="D193" s="8">
        <f>VLOOKUP(A193,'01_volume'!A4:E9,5,FALSE)</f>
        <v/>
      </c>
      <c r="E193" t="inlineStr">
        <is>
          <t>差额</t>
        </is>
      </c>
      <c r="F193" s="12">
        <f>IF(B193=0,"(未按日填写)",B193-D193)</f>
        <v/>
      </c>
    </row>
    <row r="194">
      <c r="A194" t="inlineStr">
        <is>
          <t>2026-12</t>
        </is>
      </c>
      <c r="B194" s="8">
        <f>SUMIF($F$4:$F$187,A194,$C$4:$C$187)</f>
        <v/>
      </c>
      <c r="C194" t="inlineStr">
        <is>
          <t>01_volume 月计</t>
        </is>
      </c>
      <c r="D194" s="8">
        <f>VLOOKUP(A194,'01_volume'!A4:E9,5,FALSE)</f>
        <v/>
      </c>
      <c r="E194" t="inlineStr">
        <is>
          <t>差额</t>
        </is>
      </c>
      <c r="F194" s="12">
        <f>IF(B194=0,"(未按日填写)",B194-D194)</f>
        <v/>
      </c>
    </row>
    <row r="195">
      <c r="A195" t="inlineStr">
        <is>
          <t>2027-01</t>
        </is>
      </c>
      <c r="B195" s="8">
        <f>SUMIF($F$4:$F$187,A195,$C$4:$C$187)</f>
        <v/>
      </c>
      <c r="C195" t="inlineStr">
        <is>
          <t>01_volume 月计</t>
        </is>
      </c>
      <c r="D195" s="8">
        <f>VLOOKUP(A195,'01_volume'!A4:E9,5,FALSE)</f>
        <v/>
      </c>
      <c r="E195" t="inlineStr">
        <is>
          <t>差额</t>
        </is>
      </c>
      <c r="F195" s="12">
        <f>IF(B195=0,"(未按日填写)",B195-D195)</f>
        <v/>
      </c>
    </row>
  </sheetData>
  <autoFilter ref="A3:F187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22" customWidth="1" min="4" max="4"/>
    <col width="28" customWidth="1" min="5" max="5"/>
    <col width="14" customWidth="1" min="6" max="6"/>
    <col width="36" customWidth="1" min="7" max="7"/>
  </cols>
  <sheetData>
    <row r="1">
      <c r="A1" s="1" t="inlineStr">
        <is>
          <t>交易预估性质 — 子公司收取并汇入 TINPASS 日本账户的资金</t>
        </is>
      </c>
    </row>
    <row r="3">
      <c r="A3" s="4" t="inlineStr">
        <is>
          <t>代码</t>
        </is>
      </c>
      <c r="B3" s="4" t="inlineStr">
        <is>
          <t>资金性质</t>
        </is>
      </c>
      <c r="C3" s="4" t="inlineStr">
        <is>
          <t>对手类型（个人/法人）</t>
        </is>
      </c>
      <c r="D3" s="4" t="inlineStr">
        <is>
          <t>行业/关系</t>
        </is>
      </c>
      <c r="E3" s="4" t="inlineStr">
        <is>
          <t>合同/依据</t>
        </is>
      </c>
      <c r="F3" s="4" t="inlineStr">
        <is>
          <t>预计占比(%)</t>
        </is>
      </c>
      <c r="G3" s="4" t="inlineStr">
        <is>
          <t>备注（税/预提）</t>
        </is>
      </c>
    </row>
    <row r="4">
      <c r="A4" s="23" t="inlineStr">
        <is>
          <t>A</t>
        </is>
      </c>
      <c r="B4" s="23" t="inlineStr">
        <is>
          <t>日本国内货款（商品）</t>
        </is>
      </c>
      <c r="C4" s="24" t="inlineStr">
        <is>
          <t>法人或个体户</t>
        </is>
      </c>
      <c r="D4" s="24" t="inlineStr"/>
      <c r="E4" s="23" t="inlineStr">
        <is>
          <t>买卖合同/发票/交货</t>
        </is>
      </c>
      <c r="F4" s="25" t="inlineStr"/>
      <c r="G4" s="24" t="inlineStr">
        <is>
          <t>消费税</t>
        </is>
      </c>
    </row>
    <row r="5">
      <c r="A5" s="23" t="inlineStr">
        <is>
          <t>B</t>
        </is>
      </c>
      <c r="B5" s="23" t="inlineStr">
        <is>
          <t>服务/咨询费</t>
        </is>
      </c>
      <c r="C5" s="24" t="inlineStr">
        <is>
          <t>法人或个人</t>
        </is>
      </c>
      <c r="D5" s="24" t="inlineStr"/>
      <c r="E5" s="23" t="inlineStr">
        <is>
          <t>委托合同/发票</t>
        </is>
      </c>
      <c r="F5" s="25" t="inlineStr"/>
      <c r="G5" s="24" t="inlineStr">
        <is>
          <t>预提税</t>
        </is>
      </c>
    </row>
    <row r="6">
      <c r="A6" s="23" t="inlineStr">
        <is>
          <t>C</t>
        </is>
      </c>
      <c r="B6" s="23" t="inlineStr">
        <is>
          <t>特许权/许可</t>
        </is>
      </c>
      <c r="C6" s="24" t="inlineStr">
        <is>
          <t>法人</t>
        </is>
      </c>
      <c r="D6" s="24" t="inlineStr"/>
      <c r="E6" s="23" t="inlineStr">
        <is>
          <t>许可合同</t>
        </is>
      </c>
      <c r="F6" s="25" t="inlineStr"/>
      <c r="G6" s="24" t="inlineStr">
        <is>
          <t>使用费预提</t>
        </is>
      </c>
    </row>
    <row r="7">
      <c r="A7" s="23" t="inlineStr">
        <is>
          <t>D</t>
        </is>
      </c>
      <c r="B7" s="23" t="inlineStr">
        <is>
          <t>借款回收/集团贷款</t>
        </is>
      </c>
      <c r="C7" s="24" t="inlineStr">
        <is>
          <t>关联公司</t>
        </is>
      </c>
      <c r="D7" s="24" t="inlineStr"/>
      <c r="E7" s="23" t="inlineStr">
        <is>
          <t>借贷合同/还款表</t>
        </is>
      </c>
      <c r="F7" s="25" t="inlineStr"/>
      <c r="G7" s="24" t="inlineStr">
        <is>
          <t>利息/转让定价</t>
        </is>
      </c>
    </row>
    <row r="8">
      <c r="A8" s="23" t="inlineStr">
        <is>
          <t>E</t>
        </is>
      </c>
      <c r="B8" s="23" t="inlineStr">
        <is>
          <t>增资/出资</t>
        </is>
      </c>
      <c r="C8" s="24" t="inlineStr">
        <is>
          <t>股东</t>
        </is>
      </c>
      <c r="D8" s="24" t="inlineStr"/>
      <c r="E8" s="23" t="inlineStr">
        <is>
          <t>股东会纪要/缴款证明</t>
        </is>
      </c>
      <c r="F8" s="25" t="inlineStr"/>
      <c r="G8" s="24" t="inlineStr">
        <is>
          <t>资本交易</t>
        </is>
      </c>
    </row>
    <row r="9">
      <c r="A9" s="23" t="inlineStr">
        <is>
          <t>F</t>
        </is>
      </c>
      <c r="B9" s="23" t="inlineStr">
        <is>
          <t>其他（必须具体说明）</t>
        </is>
      </c>
      <c r="C9" s="24" t="inlineStr"/>
      <c r="D9" s="24" t="inlineStr"/>
      <c r="E9" s="23" t="inlineStr"/>
      <c r="F9" s="25" t="inlineStr"/>
      <c r="G9" s="24" t="inlineStr">
        <is>
          <t>性质不明不得入金</t>
        </is>
      </c>
    </row>
    <row r="11">
      <c r="A11" t="inlineStr">
        <is>
          <t>占比合计(%) — 须为100</t>
        </is>
      </c>
      <c r="B11" s="12">
        <f>SUM(F4:F9)</f>
        <v/>
      </c>
    </row>
    <row r="13">
      <c r="A13" s="22" t="inlineStr">
        <is>
          <t>汇入 TINPASS 日本账户的资金流</t>
        </is>
      </c>
    </row>
    <row r="14">
      <c r="A14" s="2" t="inlineStr">
        <is>
          <t>① 日本交易对手 → 日本子公司账户（收款时保管 KYC、合同、发票）
② 日本子公司 → TINPASS 指定日本账户（汇款人名=子公司）
③ TINPASS → 向代表人钱包支付 USDT
各阶段合同、汇款明细、收据须备日本国税调查。</t>
        </is>
      </c>
    </row>
    <row r="15"/>
    <row r="16"/>
    <row r="17"/>
    <row r="18"/>
  </sheetData>
  <mergeCells count="2">
    <mergeCell ref="A1:G1"/>
    <mergeCell ref="A14:G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28" customWidth="1" min="4" max="4"/>
    <col width="14" customWidth="1" min="5" max="5"/>
    <col width="14" customWidth="1" min="6" max="6"/>
    <col width="18" customWidth="1" min="7" max="7"/>
    <col width="22" customWidth="1" min="8" max="8"/>
  </cols>
  <sheetData>
    <row r="1">
      <c r="A1" s="1" t="inlineStr">
        <is>
          <t>提交与保管文件清单（个人/法人）</t>
        </is>
      </c>
    </row>
    <row r="3">
      <c r="A3" s="4" t="inlineStr">
        <is>
          <t>分类</t>
        </is>
      </c>
      <c r="B3" s="4" t="inlineStr">
        <is>
          <t>阶段</t>
        </is>
      </c>
      <c r="C3" s="4" t="inlineStr">
        <is>
          <t>文件名 (JP)</t>
        </is>
      </c>
      <c r="D3" s="4" t="inlineStr">
        <is>
          <t>文件名 (本地)</t>
        </is>
      </c>
      <c r="E3" s="4" t="inlineStr">
        <is>
          <t>个人</t>
        </is>
      </c>
      <c r="F3" s="4" t="inlineStr">
        <is>
          <t>法人</t>
        </is>
      </c>
      <c r="G3" s="4" t="inlineStr">
        <is>
          <t>保管期限</t>
        </is>
      </c>
      <c r="H3" s="4" t="inlineStr">
        <is>
          <t>TINPASS 申请时上传</t>
        </is>
      </c>
    </row>
    <row r="4" ht="28" customHeight="1">
      <c r="A4" s="26" t="inlineStr">
        <is>
          <t>身份</t>
        </is>
      </c>
      <c r="B4" s="26" t="inlineStr">
        <is>
          <t>子公司KYC</t>
        </is>
      </c>
      <c r="C4" s="26" t="inlineStr">
        <is>
          <t>本人確認書類（免許証/在留/パスポート）</t>
        </is>
      </c>
      <c r="D4" s="26" t="inlineStr">
        <is>
          <t>身份证明</t>
        </is>
      </c>
      <c r="E4" s="27" t="inlineStr">
        <is>
          <t>必须</t>
        </is>
      </c>
      <c r="F4" s="26" t="inlineStr">
        <is>
          <t>代表人必须</t>
        </is>
      </c>
      <c r="G4" s="26" t="inlineStr">
        <is>
          <t>交易结束+7年</t>
        </is>
      </c>
      <c r="H4" s="26" t="inlineStr">
        <is>
          <t>副本</t>
        </is>
      </c>
    </row>
    <row r="5" ht="28" customHeight="1">
      <c r="A5" s="26" t="inlineStr">
        <is>
          <t>身份</t>
        </is>
      </c>
      <c r="B5" s="26" t="inlineStr">
        <is>
          <t>子公司KYC</t>
        </is>
      </c>
      <c r="C5" s="26" t="inlineStr">
        <is>
          <t>登記事項証明書・定款</t>
        </is>
      </c>
      <c r="D5" s="26" t="inlineStr">
        <is>
          <t>登记/章程</t>
        </is>
      </c>
      <c r="E5" s="26" t="inlineStr">
        <is>
          <t>不适用</t>
        </is>
      </c>
      <c r="F5" s="27" t="inlineStr">
        <is>
          <t>必须</t>
        </is>
      </c>
      <c r="G5" s="26" t="inlineStr">
        <is>
          <t>保持最新</t>
        </is>
      </c>
      <c r="H5" s="26" t="inlineStr">
        <is>
          <t>副本</t>
        </is>
      </c>
    </row>
    <row r="6" ht="28" customHeight="1">
      <c r="A6" s="26" t="inlineStr">
        <is>
          <t>身份</t>
        </is>
      </c>
      <c r="B6" s="26" t="inlineStr">
        <is>
          <t>子公司KYC</t>
        </is>
      </c>
      <c r="C6" s="26" t="inlineStr">
        <is>
          <t>実質的支配者申告</t>
        </is>
      </c>
      <c r="D6" s="26" t="inlineStr">
        <is>
          <t>实际控制人</t>
        </is>
      </c>
      <c r="E6" s="26" t="inlineStr">
        <is>
          <t>不适用</t>
        </is>
      </c>
      <c r="F6" s="27" t="inlineStr">
        <is>
          <t>必须</t>
        </is>
      </c>
      <c r="G6" s="26" t="inlineStr">
        <is>
          <t>变更时更新</t>
        </is>
      </c>
      <c r="H6" s="26" t="inlineStr">
        <is>
          <t>副本</t>
        </is>
      </c>
    </row>
    <row r="7" ht="28" customHeight="1">
      <c r="A7" s="26" t="inlineStr">
        <is>
          <t>收款</t>
        </is>
      </c>
      <c r="B7" s="26" t="inlineStr">
        <is>
          <t>对手→子公司</t>
        </is>
      </c>
      <c r="C7" s="26" t="inlineStr">
        <is>
          <t>取引契約書</t>
        </is>
      </c>
      <c r="D7" s="26" t="inlineStr">
        <is>
          <t>交易合同</t>
        </is>
      </c>
      <c r="E7" s="27" t="inlineStr">
        <is>
          <t>必须</t>
        </is>
      </c>
      <c r="F7" s="27" t="inlineStr">
        <is>
          <t>必须</t>
        </is>
      </c>
      <c r="G7" s="26" t="inlineStr">
        <is>
          <t>交易结束+7年</t>
        </is>
      </c>
      <c r="H7" s="26" t="inlineStr">
        <is>
          <t>摘要或全文</t>
        </is>
      </c>
    </row>
    <row r="8" ht="28" customHeight="1">
      <c r="A8" s="26" t="inlineStr">
        <is>
          <t>收款</t>
        </is>
      </c>
      <c r="B8" s="26" t="inlineStr">
        <is>
          <t>对手→子公司</t>
        </is>
      </c>
      <c r="C8" s="26" t="inlineStr">
        <is>
          <t>請求書・納品書</t>
        </is>
      </c>
      <c r="D8" s="26" t="inlineStr">
        <is>
          <t>发票/交货单</t>
        </is>
      </c>
      <c r="E8" s="27" t="inlineStr">
        <is>
          <t>必须</t>
        </is>
      </c>
      <c r="F8" s="27" t="inlineStr">
        <is>
          <t>必须</t>
        </is>
      </c>
      <c r="G8" s="26" t="inlineStr">
        <is>
          <t>7年</t>
        </is>
      </c>
      <c r="H8" s="26" t="inlineStr">
        <is>
          <t>相关交易</t>
        </is>
      </c>
    </row>
    <row r="9" ht="28" customHeight="1">
      <c r="A9" s="26" t="inlineStr">
        <is>
          <t>收款</t>
        </is>
      </c>
      <c r="B9" s="26" t="inlineStr">
        <is>
          <t>对手→子公司</t>
        </is>
      </c>
      <c r="C9" s="26" t="inlineStr">
        <is>
          <t>相手方本人確認/登記</t>
        </is>
      </c>
      <c r="D9" s="26" t="inlineStr">
        <is>
          <t>对手身份/登记</t>
        </is>
      </c>
      <c r="E9" s="26" t="inlineStr">
        <is>
          <t>个人对手时</t>
        </is>
      </c>
      <c r="F9" s="26" t="inlineStr">
        <is>
          <t>法人对手时</t>
        </is>
      </c>
      <c r="G9" s="26" t="inlineStr">
        <is>
          <t>7年</t>
        </is>
      </c>
      <c r="H9" s="26" t="inlineStr">
        <is>
          <t>要求时</t>
        </is>
      </c>
    </row>
    <row r="10" ht="28" customHeight="1">
      <c r="A10" s="26" t="inlineStr">
        <is>
          <t>收款</t>
        </is>
      </c>
      <c r="B10" s="26" t="inlineStr">
        <is>
          <t>对手→子公司</t>
        </is>
      </c>
      <c r="C10" s="26" t="inlineStr">
        <is>
          <t>振込依頼人名が確認できる入金明細</t>
        </is>
      </c>
      <c r="D10" s="26" t="inlineStr">
        <is>
          <t>入账明细（汇款人）</t>
        </is>
      </c>
      <c r="E10" s="27" t="inlineStr">
        <is>
          <t>必须</t>
        </is>
      </c>
      <c r="F10" s="27" t="inlineStr">
        <is>
          <t>必须</t>
        </is>
      </c>
      <c r="G10" s="26" t="inlineStr">
        <is>
          <t>7年</t>
        </is>
      </c>
      <c r="H10" s="26" t="inlineStr">
        <is>
          <t>建议</t>
        </is>
      </c>
    </row>
    <row r="11" ht="28" customHeight="1">
      <c r="A11" s="26" t="inlineStr">
        <is>
          <t>汇出</t>
        </is>
      </c>
      <c r="B11" s="26" t="inlineStr">
        <is>
          <t>子公司→TINPASS</t>
        </is>
      </c>
      <c r="C11" s="26" t="inlineStr">
        <is>
          <t>取締役決定・送金稟議</t>
        </is>
      </c>
      <c r="D11" s="26" t="inlineStr">
        <is>
          <t>董事会/汇款审批</t>
        </is>
      </c>
      <c r="E11" s="26" t="inlineStr">
        <is>
          <t>不适用</t>
        </is>
      </c>
      <c r="F11" s="27" t="inlineStr">
        <is>
          <t>必须</t>
        </is>
      </c>
      <c r="G11" s="26" t="inlineStr">
        <is>
          <t>7年</t>
        </is>
      </c>
      <c r="H11" s="27" t="inlineStr">
        <is>
          <t>必须</t>
        </is>
      </c>
    </row>
    <row r="12" ht="28" customHeight="1">
      <c r="A12" s="26" t="inlineStr">
        <is>
          <t>汇出</t>
        </is>
      </c>
      <c r="B12" s="26" t="inlineStr">
        <is>
          <t>子公司→TINPASS</t>
        </is>
      </c>
      <c r="C12" s="26" t="inlineStr">
        <is>
          <t>送金依頼書・振込明細書</t>
        </is>
      </c>
      <c r="D12" s="26" t="inlineStr">
        <is>
          <t>汇款申请/明细</t>
        </is>
      </c>
      <c r="E12" s="27" t="inlineStr">
        <is>
          <t>必须</t>
        </is>
      </c>
      <c r="F12" s="27" t="inlineStr">
        <is>
          <t>必须</t>
        </is>
      </c>
      <c r="G12" s="26" t="inlineStr">
        <is>
          <t>7年</t>
        </is>
      </c>
      <c r="H12" s="26" t="inlineStr">
        <is>
          <t>入金后另行</t>
        </is>
      </c>
    </row>
    <row r="13" ht="28" customHeight="1">
      <c r="A13" s="26" t="inlineStr">
        <is>
          <t>汇出</t>
        </is>
      </c>
      <c r="B13" s="26" t="inlineStr">
        <is>
          <t>子公司→TINPASS</t>
        </is>
      </c>
      <c r="C13" s="26" t="inlineStr">
        <is>
          <t>本 6か月予定報告書</t>
        </is>
      </c>
      <c r="D13" s="26" t="inlineStr">
        <is>
          <t>本6个月预估报告</t>
        </is>
      </c>
      <c r="E13" s="27" t="inlineStr">
        <is>
          <t>必须</t>
        </is>
      </c>
      <c r="F13" s="27" t="inlineStr">
        <is>
          <t>必须</t>
        </is>
      </c>
      <c r="G13" s="26" t="inlineStr">
        <is>
          <t>当年+6年</t>
        </is>
      </c>
      <c r="H13" s="27" t="inlineStr">
        <is>
          <t>必须</t>
        </is>
      </c>
    </row>
    <row r="14" ht="28" customHeight="1">
      <c r="A14" s="26" t="inlineStr">
        <is>
          <t>税务</t>
        </is>
      </c>
      <c r="B14" s="26" t="inlineStr">
        <is>
          <t>国税</t>
        </is>
      </c>
      <c r="C14" s="26" t="inlineStr">
        <is>
          <t>総勘定元帳・現金出納</t>
        </is>
      </c>
      <c r="D14" s="26" t="inlineStr">
        <is>
          <t>总账/出纳</t>
        </is>
      </c>
      <c r="E14" s="26" t="inlineStr">
        <is>
          <t>简易账</t>
        </is>
      </c>
      <c r="F14" s="27" t="inlineStr">
        <is>
          <t>必须</t>
        </is>
      </c>
      <c r="G14" s="26" t="inlineStr">
        <is>
          <t>7年(法人税)</t>
        </is>
      </c>
      <c r="H14" s="28" t="inlineStr">
        <is>
          <t>无需上传·保管</t>
        </is>
      </c>
    </row>
    <row r="15" ht="28" customHeight="1">
      <c r="A15" s="26" t="inlineStr">
        <is>
          <t>税务</t>
        </is>
      </c>
      <c r="B15" s="26" t="inlineStr">
        <is>
          <t>国税</t>
        </is>
      </c>
      <c r="C15" s="26" t="inlineStr">
        <is>
          <t>消費税・法人税申告書控</t>
        </is>
      </c>
      <c r="D15" s="26" t="inlineStr">
        <is>
          <t>消费税/法人税申报副本</t>
        </is>
      </c>
      <c r="E15" s="26" t="inlineStr">
        <is>
          <t>适用时</t>
        </is>
      </c>
      <c r="F15" s="27" t="inlineStr">
        <is>
          <t>必须</t>
        </is>
      </c>
      <c r="G15" s="26" t="inlineStr">
        <is>
          <t>7年</t>
        </is>
      </c>
      <c r="H15" s="28" t="inlineStr">
        <is>
          <t>无需上传·保管</t>
        </is>
      </c>
    </row>
    <row r="16" ht="28" customHeight="1">
      <c r="A16" s="26" t="inlineStr">
        <is>
          <t>税务</t>
        </is>
      </c>
      <c r="B16" s="26" t="inlineStr">
        <is>
          <t>国税</t>
        </is>
      </c>
      <c r="C16" s="26" t="inlineStr">
        <is>
          <t>移転価格・国外関連者書類</t>
        </is>
      </c>
      <c r="D16" s="26" t="inlineStr">
        <is>
          <t>转让定价/境外关联</t>
        </is>
      </c>
      <c r="E16" s="26" t="inlineStr">
        <is>
          <t>适用时</t>
        </is>
      </c>
      <c r="F16" s="26" t="inlineStr">
        <is>
          <t>适用时</t>
        </is>
      </c>
      <c r="G16" s="26" t="inlineStr">
        <is>
          <t>7年</t>
        </is>
      </c>
      <c r="H16" s="26" t="inlineStr">
        <is>
          <t>要求时</t>
        </is>
      </c>
    </row>
    <row r="17" ht="28" customHeight="1">
      <c r="A17" s="26" t="inlineStr">
        <is>
          <t>加密资产</t>
        </is>
      </c>
      <c r="B17" s="26" t="inlineStr">
        <is>
          <t>USDT领取</t>
        </is>
      </c>
      <c r="C17" s="26" t="inlineStr">
        <is>
          <t>代表者ウォレット所有証明</t>
        </is>
      </c>
      <c r="D17" s="26" t="inlineStr">
        <is>
          <t>钱包所有权证明</t>
        </is>
      </c>
      <c r="E17" s="27" t="inlineStr">
        <is>
          <t>必须</t>
        </is>
      </c>
      <c r="F17" s="27" t="inlineStr">
        <is>
          <t>必须</t>
        </is>
      </c>
      <c r="G17" s="26" t="inlineStr">
        <is>
          <t>交易结束+7年</t>
        </is>
      </c>
      <c r="H17" s="26" t="inlineStr">
        <is>
          <t>登记地址</t>
        </is>
      </c>
    </row>
    <row r="18" ht="28" customHeight="1">
      <c r="A18" s="26" t="inlineStr">
        <is>
          <t>加密资产</t>
        </is>
      </c>
      <c r="B18" s="26" t="inlineStr">
        <is>
          <t>USDT领取</t>
        </is>
      </c>
      <c r="C18" s="26" t="inlineStr">
        <is>
          <t>USDT受領後の帳簿記載</t>
        </is>
      </c>
      <c r="D18" s="26" t="inlineStr">
        <is>
          <t>领取后记账</t>
        </is>
      </c>
      <c r="E18" s="27" t="inlineStr">
        <is>
          <t>必须</t>
        </is>
      </c>
      <c r="F18" s="27" t="inlineStr">
        <is>
          <t>必须</t>
        </is>
      </c>
      <c r="G18" s="26" t="inlineStr">
        <is>
          <t>7年</t>
        </is>
      </c>
      <c r="H18" s="28" t="inlineStr">
        <is>
          <t>无需上传·保管</t>
        </is>
      </c>
    </row>
    <row r="21">
      <c r="A21" s="2" t="inlineStr">
        <is>
          <t>个人：代表为个体或从个人收款时请核对照栏。
法人：无登记、实际控制人、董事会决议不得向 TINPASS 日本账户入金。
保管：日本法人税账簿7年。</t>
        </is>
      </c>
    </row>
    <row r="22"/>
    <row r="23"/>
    <row r="24"/>
  </sheetData>
  <mergeCells count="2">
    <mergeCell ref="A21:H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2026-08-15T03:21:50Z</dcterms:created>
  <dcterms:modified xmlns:dcterms="http://purl.org/dc/terms/" xmlns:xsi="http://www.w3.org/2001/XMLSchema-instance" xsi:type="dcterms:W3CDTF">2026-08-15T03:21:50Z</dcterms:modified>
</cp:coreProperties>
</file>